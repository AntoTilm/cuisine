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ettes hiver" sheetId="1" r:id="rId5"/>
    <sheet state="visible" name="Recette été " sheetId="2" r:id="rId6"/>
    <sheet state="visible" name="Asiatique" sheetId="3" r:id="rId7"/>
    <sheet state="visible" name="Entrecote" sheetId="4" r:id="rId8"/>
    <sheet state="visible" name="Plat à incorporer dans les feui" sheetId="5" r:id="rId9"/>
    <sheet state="visible" name="Entrée" sheetId="6" r:id="rId10"/>
    <sheet state="visible" name="Dessert" sheetId="7" r:id="rId11"/>
  </sheets>
  <definedNames/>
  <calcPr/>
</workbook>
</file>

<file path=xl/sharedStrings.xml><?xml version="1.0" encoding="utf-8"?>
<sst xmlns="http://schemas.openxmlformats.org/spreadsheetml/2006/main" count="980" uniqueCount="499">
  <si>
    <t>Recettes été</t>
  </si>
  <si>
    <t>Recettes d'hiver</t>
  </si>
  <si>
    <t>RECETTE JAPONAISE: LE RAMEN</t>
  </si>
  <si>
    <t>Légumes grillés au four</t>
  </si>
  <si>
    <t>Ingrédient</t>
  </si>
  <si>
    <t>Quantité</t>
  </si>
  <si>
    <t>Unité</t>
  </si>
  <si>
    <t>Nombre personnes</t>
  </si>
  <si>
    <t>Champignons</t>
  </si>
  <si>
    <t>Ramen</t>
  </si>
  <si>
    <t>Chili con carne:</t>
  </si>
  <si>
    <t>Pour les oeufs mollets</t>
  </si>
  <si>
    <t>Entrecote</t>
  </si>
  <si>
    <t>Nombre de personnes</t>
  </si>
  <si>
    <t>Préparation:</t>
  </si>
  <si>
    <t xml:space="preserve">Boeuf hâchée </t>
  </si>
  <si>
    <t>Oeufs frais</t>
  </si>
  <si>
    <t>g</t>
  </si>
  <si>
    <t>Poivrons</t>
  </si>
  <si>
    <t>piece(s)</t>
  </si>
  <si>
    <t>Pour le temps de cuisson</t>
  </si>
  <si>
    <t>1. Sauce: Faire cuire tous les ingrédients dans une casserole et laisser refroidir
2. Oeufs: Faire cuire les œufs 6 min et les plonger de suite dans un bon volume d'eau fraiche
3. Ecaler les œufs, les mettre dans un sac congélation avec la sauce et les laisser au frigo 2 jours</t>
  </si>
  <si>
    <t>Cuisson</t>
  </si>
  <si>
    <t>Tomate cerises</t>
  </si>
  <si>
    <t>Faire tremper les haricots pendants 12 heures dans de l'eau froide. Mettre les haricots dans une cocotte remplie d'eau froide.</t>
  </si>
  <si>
    <t>Épaisseur (cm)</t>
  </si>
  <si>
    <t>Carottes</t>
  </si>
  <si>
    <t>Oufs mollets</t>
  </si>
  <si>
    <t xml:space="preserve">Haricot rouge </t>
  </si>
  <si>
    <t>Temps par face (min)</t>
  </si>
  <si>
    <t>Sauce soja</t>
  </si>
  <si>
    <t>Total saisie (min)</t>
  </si>
  <si>
    <t>Repos (min)</t>
  </si>
  <si>
    <t>Echalottes</t>
  </si>
  <si>
    <t>Sauçage (min)</t>
  </si>
  <si>
    <t>Temps total (min)</t>
  </si>
  <si>
    <t>Courgettes</t>
  </si>
  <si>
    <t>c.s (cuillère à soupe)</t>
  </si>
  <si>
    <t>bleu</t>
  </si>
  <si>
    <t>Mirin</t>
  </si>
  <si>
    <t>Les cuire 1 heure et demi à petits bouillon puis salez.</t>
  </si>
  <si>
    <t>Sauce noix de cajou vegan pour pâtes, bowls et burgers — ellesync.com</t>
  </si>
  <si>
    <t>Dashi en poudre</t>
  </si>
  <si>
    <t xml:space="preserve">Tomate (ou une boîte de tomates pelées) </t>
  </si>
  <si>
    <t>c.c (cuillère à café)</t>
  </si>
  <si>
    <t>Eau</t>
  </si>
  <si>
    <t>ml</t>
  </si>
  <si>
    <t>Pendant ce temps hacher les oignons et l'ail et faire revenir dans une cocotte avec l'huile, jusqu’à qu’ils deviennent translucides.</t>
  </si>
  <si>
    <t>Jus de tomate</t>
  </si>
  <si>
    <t>Sauce noix de cajou</t>
  </si>
  <si>
    <t>Bouillon de poulet</t>
  </si>
  <si>
    <t>Pour la cuisson de la poule / bouillon</t>
  </si>
  <si>
    <t>Noix de cajou</t>
  </si>
  <si>
    <t>Poule</t>
  </si>
  <si>
    <t>cl</t>
  </si>
  <si>
    <t>kg</t>
  </si>
  <si>
    <t>1. Faire bouillir les noix de cajou dans l'eau jusqu'a ce qu'elles soient tendre ou bien les mettre à tremper la veille.
2. Passer les noix de cajou et l'ail au mixer dans le compartiment prévu pour mixer les herbes aromatiques.
3. Rajouter de l'eau de cuisson pour allonger la sauce.
4. Mettre du sel, poivre, noix de muscade.</t>
  </si>
  <si>
    <t>1. Dans une casserole avec un peu d'huile, faire revenir la viande 5-10min. couvrir d'eau (chez moi 2L) ajouter oignons ail et poireaux. laisser cuire 30 a 45 min puis retirer l’oignons et le poireaux. 
2. Laisser cuire a feux moyen pendant 2h pour faire réduire le bouillon. 
3. Egoutter le tout pour ne garder que le bouillon et le mettre au frigo 24h. le lendemain enlever le pellicule de gras (jaune) sur le dessus.</t>
  </si>
  <si>
    <t>Ajouter la viande hachée, mélanger et remuer sur feu moyen. Ajouter les tomates mondées, épépinées et coupées en dés, le piment, l’origan, le cumin et le piment. Ajouter le jus de tomates et laisser mijoter 5 minutes.</t>
  </si>
  <si>
    <t>Ail (gousse pas tête)</t>
  </si>
  <si>
    <t>Oignon</t>
  </si>
  <si>
    <t>Ingrédients</t>
  </si>
  <si>
    <t>Poireau</t>
  </si>
  <si>
    <t>Égoutter les haricots et les ajouter au mélange. Mélanger et laisser cuire 20 min à feu doux.</t>
  </si>
  <si>
    <t>Maïs</t>
  </si>
  <si>
    <t>??</t>
  </si>
  <si>
    <t>l</t>
  </si>
  <si>
    <t>Entrecôte épaisse (2 à 4 cm)</t>
  </si>
  <si>
    <t>Sel</t>
  </si>
  <si>
    <t>Poivre</t>
  </si>
  <si>
    <t>Rectifier l'assaisonnement selon votre goût et servez.</t>
  </si>
  <si>
    <t>Noix de muscade</t>
  </si>
  <si>
    <t>Botte de persil</t>
  </si>
  <si>
    <t>Avant la cuisson : préparation
1. Sortir la viande du frigo au moins 30 minutes à 1 heure à l’avance.
2. Saler et poivrer la viande 15 à 30 minutes avant cuisson.
3. Ne salez pas trop tôt et tamponnez la viande avec du papier absorbant avant de la saisir pour éviter qu’elle ne rende de l’eau et ne grille mal.</t>
  </si>
  <si>
    <t>Thym, laurier, sel, poivre</t>
  </si>
  <si>
    <t>Ail</t>
  </si>
  <si>
    <t>Pommes de terre Hasselback (à la suédoise) - Marie Food Tips</t>
  </si>
  <si>
    <t>Bouillon final</t>
  </si>
  <si>
    <t>Pour la préparation du bouillon final</t>
  </si>
  <si>
    <t xml:space="preserve">Piment  </t>
  </si>
  <si>
    <t>cuillère à café</t>
  </si>
  <si>
    <t xml:space="preserve">Cumin </t>
  </si>
  <si>
    <t>Huile neutre</t>
  </si>
  <si>
    <t>1. Tout incorporer dans une casserole et remonter en température doucement jusqu’à ébullition.</t>
  </si>
  <si>
    <t>Beurre</t>
  </si>
  <si>
    <t xml:space="preserve">Origan séché </t>
  </si>
  <si>
    <t>Pomme de terre Hasselback</t>
  </si>
  <si>
    <t>Herbe fraiche! Thym, romarin, persil, estragon</t>
  </si>
  <si>
    <t>Lait de soja</t>
  </si>
  <si>
    <t>cuillère à soupe</t>
  </si>
  <si>
    <t>Pomme de terre</t>
  </si>
  <si>
    <t>Tabasco</t>
  </si>
  <si>
    <t>Saisie de l’entrecôte (sans beurre)
1. Faire chauffer une poêle (acier ou fonte) à feu très vif.
2. Ajouter un filet d’huile neutre.
3. Déposer l’entrecôte dans la poêle très chaude sans la bouger.
4. Cuisson voir tableau
5. Retourner avec une pince, pas une fourchette.
6. Saisir éventuellement les bords quelques secondes.</t>
  </si>
  <si>
    <t>bl</t>
  </si>
  <si>
    <t>1. Couper les pommes de terre finement et mettre de l'huile entre chaque tranche. 
2. Rajouter quelques tranche d'ail entre les tranches de pommes de terre.
3. Epices: Fleur de sel, poivre, paprika, thym, romarin, origan</t>
  </si>
  <si>
    <t>Gingembre frais haché</t>
  </si>
  <si>
    <t>Huile d'olive</t>
  </si>
  <si>
    <t>gousse</t>
  </si>
  <si>
    <t>Echallote</t>
  </si>
  <si>
    <t>cm</t>
  </si>
  <si>
    <t xml:space="preserve">Pour la viande </t>
  </si>
  <si>
    <t>Pour la sauce pour la cuisson de la viande et cuisson de la viande</t>
  </si>
  <si>
    <t>Saké</t>
  </si>
  <si>
    <t>Sauce bolognaise:</t>
  </si>
  <si>
    <t>Huile</t>
  </si>
  <si>
    <t>1. Tout incorporer dans une casserole et porter a peine a ébullition.
2. Faire griller toutes les faces de la pièce de viande dans une poêle avec un peu d'huile.
3. Découper en tranches assez fines. dans une poêle faire chauffer la sauce et y déposer les tranches de viandes. faire cuire jusqu'a que ce soit cuit</t>
  </si>
  <si>
    <t xml:space="preserve">Viande hâchée boeuf/porc </t>
  </si>
  <si>
    <r>
      <rPr>
        <rFont val="Arial"/>
        <color theme="1"/>
        <u/>
      </rPr>
      <t>Astuces de chef</t>
    </r>
    <r>
      <rPr>
        <rFont val="Arial"/>
        <color theme="1"/>
      </rPr>
      <t xml:space="preserve">
- Ne poivrez pas dans la poêle : le poivre brûle.
- Utilisez des pinces, jamais de fourchette.
- Ne touchez pas la viande pendant la saisie.
- Pour une sauce, déglacez avec vin rouge, cognac ou porto
 après cuisson.</t>
    </r>
  </si>
  <si>
    <t>Émincer les oignons et l'ail. Les faire revenir dans une grande marmite. Ajouter la viande et la laisser cuire.</t>
  </si>
  <si>
    <t>Finition au beurre parfumé + arrosage (amélioré)
1. Baisser le feu à moyen.
2. Ajouter dans la poêle : beurre + ail + herbes + (optionnel) oignons.
3. Remettre la viande dans la poêle.
4. Arroser sans arrêt la viande avec le beurre fondu à la cuillère pendant voir tableau</t>
  </si>
  <si>
    <t>Miel</t>
  </si>
  <si>
    <t xml:space="preserve">Verser les tomates pelée. Écraser les grossièrement avec un écrase purée par exemple. Cuire 5 minutes. </t>
  </si>
  <si>
    <t>Des recettes de pitas pour voyager le temps d'un repas</t>
  </si>
  <si>
    <t>Gousses d'ail hachée</t>
  </si>
  <si>
    <t xml:space="preserve">Ajouter le concentré de tomates et le coulis. </t>
  </si>
  <si>
    <t>Repos de la viande
1. Sortir l’entrecôte, déposer sur une assiette chaude ou grille.
2. Couvrir légèrement avec du papier alu.
3. Repos : voir tableau</t>
  </si>
  <si>
    <t>Sauce huitre</t>
  </si>
  <si>
    <t xml:space="preserve">Terminer par l'eau, le laurier, le thym, le sel, le poivre et le piment. </t>
  </si>
  <si>
    <t>Coulis de tomate</t>
  </si>
  <si>
    <t>litre</t>
  </si>
  <si>
    <t xml:space="preserve">Laisser mijoter sans couvrir au moins 2 heures. Mélanger de temps en temps. </t>
  </si>
  <si>
    <t>Pitta libanais:</t>
  </si>
  <si>
    <t>Porc</t>
  </si>
  <si>
    <t xml:space="preserve">Notes pour s’assurer que l’intérieur soit bien chaud
-Choisissez une entrecôte épaisse (2-4 cm) pour un bon équilibre 
 cuisson extérieure/intérieure.                        
-La saisie rapide à feu vif crée une belle croûte qui retient les jus.                        
-L’arrosage prolongé au beurre parfumé chauffe doucement la 
 viande sans brûler l’extérieur.                        
-Le repos permet à la chaleur interne de se répartir et aux 
 jus de se stabiliser.                        
-Pour plus de précision, utilisez un thermomètre à viande :                        
Bleu : 45-50 °C                        
Saignant : 52-55 °C                        
À point : 58-60 °C                        
Bien cuit : 65 °C et plus                        
-Pour les steaks très épais (&gt;4 cm), une finition au four 
 doux (100-120 °C) peut être utile.                        </t>
  </si>
  <si>
    <t>Garniture</t>
  </si>
  <si>
    <t>Concentré de tomate</t>
  </si>
  <si>
    <t>Dressage
1. Napper la viande avec le beurre de cuisson chaud.
2. Ou la reposer 10 secondes dans le beurre avant de servir.
3. Accompagner de pommes grenailles, salade, ou haricots verts.</t>
  </si>
  <si>
    <t xml:space="preserve">Pain libanais </t>
  </si>
  <si>
    <t>Pour les nouilles</t>
  </si>
  <si>
    <t>Nouilles de blé fraiches</t>
  </si>
  <si>
    <t>Poulet</t>
  </si>
  <si>
    <t>Thym</t>
  </si>
  <si>
    <t>Ressources</t>
  </si>
  <si>
    <t xml:space="preserve"> 1. Cuire nouilles est entre 1 et 2 min, a voir sur l'emballage</t>
  </si>
  <si>
    <t>NICE</t>
  </si>
  <si>
    <t>This is why Steaks are better in Restaurants - YouTube</t>
  </si>
  <si>
    <t>Piquant</t>
  </si>
  <si>
    <t>Tomates</t>
  </si>
  <si>
    <t>Préparation finale</t>
  </si>
  <si>
    <t>Assembler le bol</t>
  </si>
  <si>
    <t>Oignon rouge</t>
  </si>
  <si>
    <t>Mais</t>
  </si>
  <si>
    <t>Vol au vent:</t>
  </si>
  <si>
    <t xml:space="preserve">Pousses de soja ou de bambou </t>
  </si>
  <si>
    <t>Rapide:</t>
  </si>
  <si>
    <t>Butter Basted Steak Tutorial #shorts - YouTube</t>
  </si>
  <si>
    <t>Bouchées à la Reine / Vol-au-Vent - Recette Simple &amp; Délicieuse - YouTube</t>
  </si>
  <si>
    <t>Comcombre</t>
  </si>
  <si>
    <t xml:space="preserve">Vert de cébettes </t>
  </si>
  <si>
    <t>Entrecote épaisse</t>
  </si>
  <si>
    <t>Entrecôte de Boeuf au Beurre d'Ail! 🥩🧄 - YouTube</t>
  </si>
  <si>
    <t>Sauce</t>
  </si>
  <si>
    <t>Yahourt grec</t>
  </si>
  <si>
    <t>Poulet du Général Tao : Recette facile - Cooking With Morgane</t>
  </si>
  <si>
    <t>Le Vol-au-vent des Armes de Bruxelles | The Mastercooks of Belgium</t>
  </si>
  <si>
    <t>Jus citron</t>
  </si>
  <si>
    <t>Menthe</t>
  </si>
  <si>
    <t>Pourquoi salé et laisser reposer:</t>
  </si>
  <si>
    <t>Cumin</t>
  </si>
  <si>
    <t>Why you should wait after salting steak. - YouTube</t>
  </si>
  <si>
    <t xml:space="preserve">Poulet du Général Tao </t>
  </si>
  <si>
    <t>Tzatziki</t>
  </si>
  <si>
    <t>Yaourt grec</t>
  </si>
  <si>
    <t>Étapes de la recette (pour 4 personnes)
Marinade du poulet
Découpe ton poulet en morceaux.
Mets-le dans un bol avec : sel, poivre, blanc d’œuf, huile.
Mélange, puis ajoute progressivement la fécule de maïs jusqu’à bien enrober.
Laisse reposer.
Préparer les aromates
Râpe le gingembre (2 c. à café).
Hache l’ail (2 gousses).
Émince la ciboulette.
Préparer la sauce
Dans un bol, mélange :
gingembre râpé (1 c. à café),
la moitié de l’ail,
sucre, vinaigre de riz blanc, sauce soja claire, vinaigre de riz noir, sauce soja foncée, alcool de riz Shaoxing, purée de piment, bouillon de poule, poivre.
Délaye à part fécule de maïs + eau (liaison).
Frire le poulet
Chauffe l’huile (170 °C env.).
Plonge les morceaux de poulet un à un.
Fais frire environ 5 min, en remuant de temps en temps, jusqu’à ce qu’ils soient dorés.
Égoutte.
Cuire la sauce
Dans un wok/poêle : huile chaude.
Fais revenir gingembre + ail restant 20 secondes.
Ajoute la sauce, laisse réduire 1 minute.
Ajoute le mélange fécule + eau pour épaissir.
Assembler
Mets le poulet frit dans la sauce.
Mélange 30 secondes pour bien enrober.
Coupe le feu.
Finition
Parsème de ciboulette.
Sers immédiatement.</t>
  </si>
  <si>
    <r>
      <rPr>
        <rFont val="Arial"/>
        <b/>
        <color theme="1"/>
        <u/>
      </rPr>
      <t xml:space="preserve">1. Préparation de la poularde </t>
    </r>
    <r>
      <rPr>
        <rFont val="Arial"/>
        <color theme="1"/>
      </rPr>
      <t xml:space="preserve">
Prendre une casserole assez grande, remplir d’eau froide. Nettoyer tous les légumes aromatiques et couper en gros morceaux. Jeter les morceaux dans la casserole d’eau froide avec sel poivre thym et laurier. Amener à ébullition, laisser tirer (bouillir à petit feu) pendant 20 minutes. 
Ce procédé s’appelle l’extraction, cela consiste à extraire tout le goût des légumes afin de le donner au bouillon. 
Après 20 minutes de cuisson, passer le bouillon au chinois, afin de le garder clair et propre. Amener à ébullition, et plonger la poularde. S’assurer que la poularde est entièrement recouverte de bouillon, si nécessaire ajouter de l’eau. Faire cuire la poularde à petite ébullition pendant 50 minutes. Rajouter de la graisse d'oie
Pour vérifier si la cuisson est complète, sortir la poularde, détacher une cuisse et regarder dans l’articulation du genou, si elle est bien blanche, la poularde est cuite. 
Sortir la poularde du bouillon et lasser refroidir pour l’éplucher, surtout bien conserver le bouillon de cuisson.</t>
    </r>
  </si>
  <si>
    <t xml:space="preserve">Préparation
1. Râpez ou hachez finement le concombre et pressez-le pour enlever l’excès d’eau.
2. Pelez et écrasez les gousses d’ail.
3. Mélangez le yaourt grec, le concombre, l’ail, l’huile d’olive, le vinaigre (ou jus de citron) et l’aneth.
4. Assaisonnez avec du sel et du poivre selon votre goût.
5. Laissez reposer au réfrigérateur au moins 1 heure avant de déguster.
</t>
  </si>
  <si>
    <t>Marinade de poulet</t>
  </si>
  <si>
    <t>Concombre</t>
  </si>
  <si>
    <t xml:space="preserve">blanc ou hauts de cuisse de poulet </t>
  </si>
  <si>
    <t xml:space="preserve">Fécule de maïs </t>
  </si>
  <si>
    <t>c. à soupe</t>
  </si>
  <si>
    <t>Vinaigre de vin blanc ou jus de citron</t>
  </si>
  <si>
    <t xml:space="preserve">Blanc d’œuf </t>
  </si>
  <si>
    <t>Menthe frais ciselé</t>
  </si>
  <si>
    <t>piece()</t>
  </si>
  <si>
    <t>Poivre moulu</t>
  </si>
  <si>
    <t>La sauce hollandaise - Philippe Etchebest</t>
  </si>
  <si>
    <t>Pour la cuisson des champignons</t>
  </si>
  <si>
    <t>sucre</t>
  </si>
  <si>
    <t>vinaigre de riz blanc</t>
  </si>
  <si>
    <t>Citron</t>
  </si>
  <si>
    <t>vinaigre de riz noir</t>
  </si>
  <si>
    <t>Oeufs poché</t>
  </si>
  <si>
    <t>citron</t>
  </si>
  <si>
    <t>Make a poached egg - 750g - YouTube</t>
  </si>
  <si>
    <t>sauce de soja claire</t>
  </si>
  <si>
    <r>
      <rPr>
        <rFont val="Arial"/>
        <b/>
        <color theme="1"/>
        <u/>
      </rPr>
      <t>2. Préparation de la sauce</t>
    </r>
    <r>
      <rPr>
        <rFont val="Arial"/>
        <color theme="1"/>
      </rPr>
      <t xml:space="preserve">
Prévoir, plus ou moins deux litres et demi, de sauce. 
Faire réduire le bouillon de cuisson, amener à ébullition et laisser bouillir, l’eau s’évapore et les goûts se concentrent. Réduire le bouillon jusqu’à avoir deux à trois litres. 
Dans une autre casserole, faire fondre le beurre, doucement sans le colorer. Lorsque le beurre est fondu, verser la farine et bien mélanger au fouet afin d’obtenir un roux. 
Faire cuire doucement pendant cinq minutes pour enlever le goût de farine. Filtrer le bouillon de volaille et verser petit à petit sur le roux en fouettant énergiquement. Bien fouetter pour éviter les grumeaux et aérer la sauce (donner du moelleux). 
A vous de juger pour la consistance de la sauce, lorsque la sauce est assez liée, faire bouillir à petit feu pendant 10 minutes pour la faire dépouiller (écumer les impuretés qui vont former de l’écume à la surface). </t>
    </r>
  </si>
  <si>
    <t>sauce de soja foncée</t>
  </si>
  <si>
    <t>Oeufs bénédicte</t>
  </si>
  <si>
    <t>Pour les boulettes de veau</t>
  </si>
  <si>
    <t>alcool de riz Shaoxing</t>
  </si>
  <si>
    <t>Oeufs</t>
  </si>
  <si>
    <t>Viande hachée (porc/veau)</t>
  </si>
  <si>
    <t xml:space="preserve"> purée de piment</t>
  </si>
  <si>
    <t xml:space="preserve">Pour réussir un oeuf poché:
1. Mettre du vinaigre
2. Ne pas salé l'eau
3. L'eau doit a peine frémir, ne pas bouillir car le bulle vont casser le blanc
4. Précuire l'oeufs dans sa coque 10 secondes dans l'eau avant de le casser dans la casserole
5. Faire un tourbillon léger
6. Cuire 3minutes
</t>
  </si>
  <si>
    <t>Gouse d'ail</t>
  </si>
  <si>
    <t>Oeuf (jaune)</t>
  </si>
  <si>
    <t>Vinaigre</t>
  </si>
  <si>
    <t>Sauce Hollandaise</t>
  </si>
  <si>
    <t>gingembre râpé</t>
  </si>
  <si>
    <t>Chapelure</t>
  </si>
  <si>
    <t>Poivre/Sel</t>
  </si>
  <si>
    <t>Beurre (froid)</t>
  </si>
  <si>
    <t>bouillon de poule ou d’eau</t>
  </si>
  <si>
    <t xml:space="preserve">Pour la sauce </t>
  </si>
  <si>
    <t>Jaunes d’oeufs</t>
  </si>
  <si>
    <t>Autres</t>
  </si>
  <si>
    <t>Farine</t>
  </si>
  <si>
    <t>huile de tournesol</t>
  </si>
  <si>
    <t>Vin blanc / Vinaigre de vin blanc</t>
  </si>
  <si>
    <t xml:space="preserve">Pour la sauce hollandaise: Attention a bien gérer les température de la peole et du beurre tout au long
1. Fouetter les jaunes d'oeufs dans le poellon avec le vin blanc, le sel et le piment d'espelette
2. Le poellon doit etre par trop chaud. On doit pouvoir toucher le fond de celui-ci avec sa main. 
    Si ca commence a fumer, on retire la casserole du feu
3. Monterr les jaunes en sabaillon, cela doit déja commencer a épaissir. On doit voir le fond de la casserole 
    en fouettant
4. Ajouter le beurre très FROID. Il faut l'ajouter progressivement pour créer l'émulsion.
5. Ajouter un demi citron si vin blanc, sinon pas besoin
</t>
  </si>
  <si>
    <t>Creme fraîche</t>
  </si>
  <si>
    <t>Jus de citron jaune</t>
  </si>
  <si>
    <t>dl</t>
  </si>
  <si>
    <t>Piment d’Espelette</t>
  </si>
  <si>
    <t>Sel, poivre, muscade</t>
  </si>
  <si>
    <t>fécule de maïs</t>
  </si>
  <si>
    <t>Pain</t>
  </si>
  <si>
    <r>
      <rPr>
        <rFont val="Arial"/>
        <b/>
        <color theme="1"/>
        <u/>
      </rPr>
      <t>3. Préparation des champignons</t>
    </r>
    <r>
      <rPr>
        <rFont val="Arial"/>
        <color theme="1"/>
      </rPr>
      <t xml:space="preserve">
Couper le pied des champignons et ensuite les couper en quatre. Les mettre en casserole sur deux centimètres d’eau froide, le jus d’un citron jaune et un peu de poivre du moulin. Mettre un couvercle et sur un feu très vif amener à ébullition pendant une à deux minutes, c’est la cuisson des champignons « à blanc ». Bien garder le jus pour rajouter à la sauce du vol-au-vent.</t>
    </r>
  </si>
  <si>
    <t>ciboulettes Thaïes</t>
  </si>
  <si>
    <t>Pancetta</t>
  </si>
  <si>
    <t>Huile pour friture</t>
  </si>
  <si>
    <t>tranches</t>
  </si>
  <si>
    <t>Pain de mie</t>
  </si>
  <si>
    <r>
      <rPr>
        <rFont val="Arial"/>
        <b/>
        <color theme="1"/>
        <u/>
      </rPr>
      <t>4. Préparation des boulettes de veau</t>
    </r>
    <r>
      <rPr>
        <rFont val="Arial"/>
        <color theme="1"/>
      </rPr>
      <t xml:space="preserve">
Mettre les jaunes d'oeuf dans la viande et rajouter un peu de chapelure. Sel poivre. Faire des petites boulettes uniforme. Les faire cuire dans le bouillon de la poule puis rissoler à la poele </t>
    </r>
  </si>
  <si>
    <t>Rouleaux de printemps</t>
  </si>
  <si>
    <t>Crevettes à l'ail</t>
  </si>
  <si>
    <t>Sauce Cacahuete Tamarin</t>
  </si>
  <si>
    <t>Sauce Nuoc-mâm</t>
  </si>
  <si>
    <t>Nombre de rouleaux de printemps</t>
  </si>
  <si>
    <t>Galettes de riz (28cm)</t>
  </si>
  <si>
    <r>
      <rPr>
        <rFont val="Arial"/>
        <b/>
        <color theme="1"/>
        <u/>
      </rPr>
      <t>5. Préparation du vol-au-vent</t>
    </r>
    <r>
      <rPr>
        <rFont val="Arial"/>
        <color theme="1"/>
      </rPr>
      <t xml:space="preserve">
Commencer par décortiquer la volaille en faisant bien attention d’enlever les tendons et morceaux de cartilage. Faire des gros ou petits morceaux, c’est à votre convenance. Prendre une casserole assez grande pour accueillir toute la préparation, la sauce, la volaille décortiquée, les ris de veau, les champignons. Réchauffer doucement en mélangeant, faire bouillir un instant et terminer avec la crème. Goûter puis ajuster l’assaisonnement (sel, poivre, muscade). </t>
    </r>
  </si>
  <si>
    <t>Scampi à l'ail:</t>
  </si>
  <si>
    <t>Pâte de cacahuètes (non sucrée)</t>
  </si>
  <si>
    <t>Crevettes crues décortiquées</t>
  </si>
  <si>
    <t>Étapes de préparation
    1. Cuisson du riz brun
        Faire fondre le beurre dans une casserole, ajouter le riz, remuer.
        Ajouter l’eau et le sel. Porter à ébullition, couvrir, réduire à feu doux et cuire 20 minutes.
    2. Préparation du beurre à l’ail
        Écraser le beurre ramolli à température ambiante.
        Ajouter ail pressé, jus de citron, persil, sel et poivre. Bien mélanger.
    3. Préparation des crevettes
        Couper les crevettes en papillon (dans la longueur), retirer le boyau si nécessaire.
        Garnir chaque crevette avec le beurre à l’ail, refermer légèrement, disposer sur une plaque.
        Saupoudrer d’un peu de chapelure pour le croustillant.
    4. Cuisson au four
        Cuire au four à 175 °C (350 °F) pendant environ 3-4 minutes jusqu’à ce que les crevettes soient bien roses et légèrement croustillantes.
    5. Dressage
        Servir le riz dans une assiette creuse, disposer les crevettes dessus.
        Napper de beurre fondu à l’ail restant.</t>
  </si>
  <si>
    <t>gr</t>
  </si>
  <si>
    <t>Nuoc-mâm (sauce de poisson)</t>
  </si>
  <si>
    <t>Chicon au gratin:</t>
  </si>
  <si>
    <t>Vermicelles de riz séchés</t>
  </si>
  <si>
    <t>Beurre pour le riz</t>
  </si>
  <si>
    <t>Pulpe de tamarin réhydratée</t>
  </si>
  <si>
    <t>Riz brun</t>
  </si>
  <si>
    <t>RECETTE. Tous les secrets de la fondue savoyarde avec le chef Laurent Métral - YouTube</t>
  </si>
  <si>
    <t>Germe/Pousse de soja</t>
  </si>
  <si>
    <t>Eau pour le riz</t>
  </si>
  <si>
    <t>Sucre (blanc ou roux)</t>
  </si>
  <si>
    <t>Sel pour le riz</t>
  </si>
  <si>
    <t>Sucre</t>
  </si>
  <si>
    <t>Fromages</t>
  </si>
  <si>
    <t>pincée</t>
  </si>
  <si>
    <t>Fondue Savoyarde</t>
  </si>
  <si>
    <t>Beurre pour le beurre à l’ail</t>
  </si>
  <si>
    <t>1. Préparer le caquelon
Frotte l’intérieur du caquelon avec la moitié de gousse d’ail.
Laisse quelques éclats d’ail au fond si tu veux un goût plus marqué.
Ajoute 5 g de beurre et fais fondre à feu doux sans colorer l’ail.
2. Ajouter le vin
Verse 85 ml de vin blanc et fais chauffer doucement jusqu’à frémissement (sans bouillir).
Poivre légèrement.
3. Incorporer les fromages
Ajoute les fromages progressivement, en petites poignées, en remuant constamment avec une cuillère en bois en formant des huit.
La fonte doit se faire doucement (feu moyen à doux) pour éviter la séparation de la matière grasse.
Continue de mélanger jusqu’à obtention d’une texture lisse et homogène.
4. Finaliser
Quand la fondue est bien liée et brillante, ajoute :
Le kirsch (5 ml) en dehors du feu
Un peu de poivre noir
Si elle devient trop épaisse, ajoute un trait de vin blanc chaud.
Si elle est trop fluide, ajoute une petite cuillère à café de fécule diluée dans une goutte de vin.</t>
  </si>
  <si>
    <t>Vacherin fribourgeois</t>
  </si>
  <si>
    <t>Jus de citron vert ou vinaigre de riz</t>
  </si>
  <si>
    <t>Jus de citron</t>
  </si>
  <si>
    <t>Menthe fraiche</t>
  </si>
  <si>
    <t>bouquet</t>
  </si>
  <si>
    <t>Persil frais</t>
  </si>
  <si>
    <t>Piment (frais ou en poudre, optionnel)</t>
  </si>
  <si>
    <t>Ail (haché)</t>
  </si>
  <si>
    <t>Gruyère suisse</t>
  </si>
  <si>
    <t>Sel pour le beurre à l’ail</t>
  </si>
  <si>
    <t xml:space="preserve"> </t>
  </si>
  <si>
    <t>Eau (ajuster selon la texture)</t>
  </si>
  <si>
    <t>Comté affiné</t>
  </si>
  <si>
    <t>Piment rouge (haché)</t>
  </si>
  <si>
    <t>Beaufort</t>
  </si>
  <si>
    <t>Jeune oigons</t>
  </si>
  <si>
    <t>c. à café</t>
  </si>
  <si>
    <t>Carotte râpée (optionnel)</t>
  </si>
  <si>
    <t>Autres ingrédients</t>
  </si>
  <si>
    <t>Vin blanc de Savoie (cépage Jacquère)</t>
  </si>
  <si>
    <t>Coriandre fraiche</t>
  </si>
  <si>
    <t>Beurre doux</t>
  </si>
  <si>
    <t>Salade verte</t>
  </si>
  <si>
    <t>Hamburger:</t>
  </si>
  <si>
    <t>Pain burger</t>
  </si>
  <si>
    <t>Crevettes crues</t>
  </si>
  <si>
    <t>A completer</t>
  </si>
  <si>
    <t>Adapter les case pour la formule</t>
  </si>
  <si>
    <t>Oignon jaune</t>
  </si>
  <si>
    <t>Tomate</t>
  </si>
  <si>
    <t>Poivre noir du moulin</t>
  </si>
  <si>
    <t>Salade terre</t>
  </si>
  <si>
    <t>Cornichon</t>
  </si>
  <si>
    <t>Steak</t>
  </si>
  <si>
    <t>Kirsch / Marc de Gewurstraminé</t>
  </si>
  <si>
    <t xml:space="preserve">Étapes :         
1. Réhydrater le tamarin : couvrir le tamarin sec d’eau bouillante et laisser tremper 10 minutes. Ensuite, écraser avec les doigts ou une cuillère pour en extraire la pulpe, puis filtrer pour enlever les fibres éventuelles.                                                                
2. Mixer : dans un blender ou à la main, mélanger la pâte de cacahuètes, la pulpe de tamarin, le sucre, le sel et le piment.                                                                
3. Ajouter de l’eau petit à petit pour obtenir une sauce onctueuse et émulsionnée.                                                                
4. Goûter et ajuster : on peut renforcer l'acidité (tamarin), le sucré (sucre), le salé (sel), ou le piquant (piment) selon le plat auquel elle est destinée.     
Message de base pour la préparation de la sauce:          
"Pâte de cacahuètes, tamarin acide séché (à acheter en magasin asiatique de préférence sans noyaux), du sucre, sel, (un peu de piment optionnel).
Rehydrater le tamarin dans  de l'eau bouillante en le couvrant d'eau.
Mettre la pâte de cacahuètes dans le mixer, ajouter le tamarin réhydraté, le sucre, le sel. Tout mixer ensemble
Ajouter de l'eau pour émulsionner le tout."                                                                 </t>
  </si>
  <si>
    <t>Lardo toscano</t>
  </si>
  <si>
    <t xml:space="preserve">Cheddar </t>
  </si>
  <si>
    <t>Pain de campagne / Baguette</t>
  </si>
  <si>
    <t xml:space="preserve">Mayonnaise </t>
  </si>
  <si>
    <t xml:space="preserve">Étapes de préparation :  
1. Dissoudre le sucre dans l’eau chaude.                                
2. Ajouter la sauce nuoc-mâm, le jus de citron (ou vinaigre), l’ail et le piment.                                
3. Ajouter éventuellement la carotte râpée pour la couleur et le croquant.                                
4. Goûter et ajuster l'équilibre entre le sucré, le salé et l’acide.                                
5. Servir frais en accompagnement de rouleaux de printemps ou de plats vietnamiens.                                </t>
  </si>
  <si>
    <t>Porc mariné</t>
  </si>
  <si>
    <t>⚗️ Le principe de l’émulsion
Une fondue, c’est une émulsion entre :
une phase aqueuse acide → le vin blanc,
et une phase grasse et protéinée → le fromage.
Ces deux éléments ne se mélangent pas naturellement :  
il faut les unir progressivement à température douce pour obtenir une texture lisse et stable.</t>
  </si>
  <si>
    <t>🧀 Fondue savoyarde — Émulsion &amp; Températures idéales
🌡️ Températures clés
Étape	Température idéale	Objectif
Chauffe du vin	70–75 °C	Préparer la phase acide sans la dégrader
Fonte du fromage	65–70 °C	Créer une émulsion stable
Service (réchaud)	60–65 °C	Maintenir la texture parfaite</t>
  </si>
  <si>
    <t xml:space="preserve">De tasse(190ml) </t>
  </si>
  <si>
    <t>Ketchup</t>
  </si>
  <si>
    <t>Moutarde jaune</t>
  </si>
  <si>
    <t>Sauce Sriracha</t>
  </si>
  <si>
    <t>Sauce Worcestershire</t>
  </si>
  <si>
    <t>Porc laqué</t>
  </si>
  <si>
    <t>🔥 Étapes pour une émulsion parfaite
Chauffer le vin doucement
Monte à 70–75 °C maximum (léger frémissement, pas d’ébullition).
L’acidité et l’alcool doivent rester présents pour stabiliser le fromage
Incorporer le fromage petit à petit
Ajoute une poignée à la fois, en remuant sans arrêt en formant des “8”.
Attends que chaque portion soit fondue avant la suivante.
Ce mouvement favorise le mélange progressif du vin et des protéines fondues.
Maintenir une chaleur douce et constante
Garde le mélange à 65–70 °C.
Si ça bouillonne, baisse immédiatement le feu.
Stabiliser la texture
Délaye 1 c. à café de fécule de maïs dans un peu de vin froid, puis verse dans la fondue.
Ajoute ton marc de gewurztraminer et le poivre hors du feu pour préserver les arômes.
Pendant le service
Réchaud réglé pour garder 60–65 °C.
Si la fondue épaissit → ajoute 1 c. à soupe de vin chaud.
Si elle se liquéfie → ajoute un peu de fromage râpé.</t>
  </si>
  <si>
    <t>Quantité de porc en grammes</t>
  </si>
  <si>
    <t>Cornichons sucrés coupés finement</t>
  </si>
  <si>
    <t xml:space="preserve">De tasse(85ml) </t>
  </si>
  <si>
    <t>Poudre d’ail</t>
  </si>
  <si>
    <t>Poudre d’oignon</t>
  </si>
  <si>
    <t>🧩 En cas de souci : comment rattraper la texture
Problème                               Cause                                                                      Solution
Trop élastique                        Température trop élevée ou manque d’acidité        Ajoute quelques gouttes de citron pour détendre la texture
Trop liquide                            Trop de vin ou chaleur trop forte                             Ajoute un peu de fromage râpé ou une pointe de fécule
Trop épaisse                           Pas assez de vin                                                    Ajoute 1–2 c. à soupe de vin chaud
Grasse ou qui se sépare        Ébullition, vin trop doux                                          Baisse le feu, ajoute un trait de vin + quelques gouttes de citron</t>
  </si>
  <si>
    <t>Paprika</t>
  </si>
  <si>
    <t>Couscous:</t>
  </si>
  <si>
    <t>Couscous traditionnel : la meilleure recette</t>
  </si>
  <si>
    <t>Trouver une méthode à la poele et pas au four
Découper le porc en longues lanières épaisses (2–3 cm d'épaisseur).
    1. Préparer la marinade en mélangeant tous les ingrédients.
    2. Mariner la viande dans un sac congélation ou un plat, au moins 3 heures, idéalement toute la nuit.
    3. Cuisson au four (méthode simple) :
        Préchauffer le four à 200 °C (chaleur tournante).
        Disposer la viande sur une grille posée sur une plaque avec papier cuisson ou alu dessous (pour récupérer le jus).
        Cuire 25–30 min, en badigeonnant une ou deux fois avec la marinade restante.
        Terminer par 5 min en mode grill pour bien caraméliser.
    4. Autre option : cuisson à la poêle antiadhésive, feu moyen, en retournant et en glaçant avec la marinade.
    5. Repos : laisser reposer 5 minutes avant de trancher finement.
Astuces :
    Pour une texture encore plus fondante, tu peux précuire la viande à la vapeur 20 min avant de la faire rôtir.
    Si tu veux une version express, tu peux simplement utiliser un mélange sauce hoisin + miel + sauce soja.
    Se conserve très bien au frigo et peut être réchauffé à la poêle ou au four.</t>
  </si>
  <si>
    <t>Sauce hoisin</t>
  </si>
  <si>
    <t>Miel (ou sucre brun)</t>
  </si>
  <si>
    <t>Vin de riz Shaoxing / xérès / blanc</t>
  </si>
  <si>
    <t>Sauce d’huître (optionnel)</t>
  </si>
  <si>
    <t>Huile de sésame grillé</t>
  </si>
  <si>
    <t>5 épices chinoises</t>
  </si>
  <si>
    <t>Ail râpé</t>
  </si>
  <si>
    <t>Colorant rouge</t>
  </si>
  <si>
    <t>facultatif</t>
  </si>
  <si>
    <t>Traditional Cantonese Rice - Cooking With Morgane - YouTube</t>
  </si>
  <si>
    <t>Riz Cantonnais</t>
  </si>
  <si>
    <t>Riz parfumé Thaï</t>
  </si>
  <si>
    <t>https://www.hervecuisine.com/recette/riz-cantonais-la-vrai-recette-de-cuisine-chinoise/</t>
  </si>
  <si>
    <t>Saucisses chinoises séchées</t>
  </si>
  <si>
    <t>https://www.petitsplatsentreamis.com/recette-du-riz-cantonais/</t>
  </si>
  <si>
    <t>Poitrine de porc</t>
  </si>
  <si>
    <t>https://www.cuisineactuelle.fr/culture-food/idees-de-menus/idees-de-repas/la-recette-facile-du-riz-cantonais-a-la-sauce-soja-de-cyril-lignac-187234</t>
  </si>
  <si>
    <t>https://www.modesettravaux.fr/cuisine/ideesrecettes/riz-cantonais-de-cyril-lignac-lastuce-secrete-du-chef-pour-faire-exploser-les-saveurs-66156.html#item=1</t>
  </si>
  <si>
    <t>Petits pois</t>
  </si>
  <si>
    <t xml:space="preserve"> Champignons parfumés (shiitake)</t>
  </si>
  <si>
    <t xml:space="preserve"> Oignon</t>
  </si>
  <si>
    <t>Ciboulettes</t>
  </si>
  <si>
    <t>Coriandre</t>
  </si>
  <si>
    <t>Sauce de soja claire</t>
  </si>
  <si>
    <t>Huile de tournesol</t>
  </si>
  <si>
    <t>Porc caramélisé : la plus simple de mes recettes ! - YouTube</t>
  </si>
  <si>
    <t>Pour la viande</t>
  </si>
  <si>
    <t>Poulet / Porc caramélisé</t>
  </si>
  <si>
    <t>Échine de porc (ou poulet)</t>
  </si>
  <si>
    <t xml:space="preserve">Porc caramélisé:
Découper le porc (ou le poulet) en tranches d’environ 8 mm d’épaisseur.
Préparation des ingrédients :
Hacher l’ail. Mesurer sucre, sauce de poisson, sel et poivre.
Réaliser le caramel :
Chauffer une poêle à feu vif. Ajouter l’huile et le sucre, sans remuer.
Quand le sucre commence à brunir, mélanger brièvement pour homogénéiser.
Ajouter l’ail haché :
Remuer rapidement pendant 10 secondes (attention à ne pas brûler).
Cuire la viande :
Ajouter le porc (ou le poulet). Assaisonner avec sel, poivre et sauce de poisson.
Cuire en remuant régulièrement environ 7 minutes. Au début, la viande rend de l’eau (normal).
Poursuivre la cuisson jusqu’à évaporation complète et caramélisation des morceaux.
Repos :
Laisser reposer 2–3 minutes avant de servir.
</t>
  </si>
  <si>
    <t>gousse(s)</t>
  </si>
  <si>
    <t>Sauce de poisson</t>
  </si>
  <si>
    <t>Pour le riz</t>
  </si>
  <si>
    <t>Riz</t>
  </si>
  <si>
    <t>Pour les légumes</t>
  </si>
  <si>
    <t>Légumes sautés</t>
  </si>
  <si>
    <t>pièce(s)</t>
  </si>
  <si>
    <t>Ordre &amp; temps de cuisson (à feu vif, dans un wok ou une grande poêle)
1. Chauffer la poêle avec un peu d’huile (2 c. à s.).
2. Oignons → 2 minutes  
   Les mettre en premier pour qu’ils deviennent légèrement translucides et parfumés.
3. Carottes → 3 minutes  
   Plus fermes, elles doivent s’attendrir un peu avant d’ajouter le reste.
4. Poivrons → 2 minutes  
   Ils cuisent vite, on veut qu’ils restent encore croquants.
5. Champignons → 2 minutes  
   Ils rendent de l’eau, donc les mettre en dernier évite de détremper les autres légumes.
6. Assaisonner en fin de cuisson → sel, poivre, ail haché si souhaité, plus éventuellement un filet de sauce soja ou une pointe de miel pour rappeler le porc/poulet caramélisé.
 Total : environ 9–10 minutes de cuisson, feu vif, en remuant souvent.</t>
  </si>
  <si>
    <t>Poivrons (rouge/jaune/vert)</t>
  </si>
  <si>
    <t>Champignons de Paris (ou shiitake)</t>
  </si>
  <si>
    <t>Ail (optionnel)</t>
  </si>
  <si>
    <t>Sauce soja (optionnel)</t>
  </si>
  <si>
    <t>Miel (optionnel)</t>
  </si>
  <si>
    <t>Saumon Teriyaki – impressionnant pour vos papilles et facile à préparer - YouTube</t>
  </si>
  <si>
    <t>Saumon Teriyaki</t>
  </si>
  <si>
    <t>1. Préparer le saumon
Retirer les écailles du pavé de saumon sans enlever la peau.
Sécher le saumon avec du papier absorbant.
2. Préparer la marinade teriyaki
Dans un bol, mélanger :
Sauce soja claire, Sauce soja foncée, Sirop de riz (ou miel / sucre), Mirin (ou saké), jus de citron, ail pressé, gingembre râpé, sel, poivre moulu
Mélanger soigneusement jusqu’à obtention d’une sauce homogène.
3. Faire mariner
Déposer le pavé de saumon dans la sauce, bien l’enrober.
Laisser mariner 30 minutes à température ambiante (ou au frais).
4. Préparer les accompagnements
Cuire 80 g de riz rond selon les instructions du paquet.
Préparer une salade de concombre et d’algues wakamé.
(Optionnel) Ajouter un peu de kimchi pour le service.
5. Cuire le saumon
Chauffer l’huile de tournesol dans une poêle à feu moyen. Déposer le saumon côté peau vers le bas. Laisser griller 3 minutes sans bouger. Retourner délicatement le saumon.
Verser la marinade restante dans la poêle.
Laisser cuire encore 3 minutes, en arrosant régulièrement le saumon avec la sauce.
6. Finition et service
Parsemer le saumon de ciboulette ciselée et de graines de sésame. Servir avec le riz, la sauce teriyaki réduite, et les légumes frais.</t>
  </si>
  <si>
    <t>Pavés de saumon (avec peau)</t>
  </si>
  <si>
    <t>Gingembre frais râpé</t>
  </si>
  <si>
    <t>Sauce soja claire</t>
  </si>
  <si>
    <t>Sauce soja foncée</t>
  </si>
  <si>
    <t>Sirop de riz (ou miel / sucre)</t>
  </si>
  <si>
    <t>Mirin (ou saké de cuisine)</t>
  </si>
  <si>
    <t>Ail (pressé)</t>
  </si>
  <si>
    <t>Ciboulette fraîche</t>
  </si>
  <si>
    <t>Graines de sésame (blanc et noir mélangés)</t>
  </si>
  <si>
    <t>The “garbage can of sauces”: Teriyaki! 🌪️ - YouTube</t>
  </si>
  <si>
    <t>Sauce Teriyaki</t>
  </si>
  <si>
    <t>Fais un caramel à sec :
Mets le sucre seul dans une petite casserole.
Laisse fondre doucement sans remuer (tu peux tourner la casserole pour homogénéiser).
Quand il devient ambré foncé, retire du feu.
Déglaçage :
Verse le mirin et la sauce soja en filet très doucement (attention aux projections).
Remets sur feu doux et remue pour bien dissoudre le caramel.
Ajoute le vinaigre de riz et, si nécessaire, un peu d’eau pour ajuster la consistance.
Laisse réduire à feu doux 3–5 minutes : la sauce devient sirupeuse et brillante.
(Optionnel) Ajoute le mélange maïzena + eau et fais épaissir 30 secondes de plus.</t>
  </si>
  <si>
    <t>Vinaigre de riz</t>
  </si>
  <si>
    <t>c à c</t>
  </si>
  <si>
    <t>Gimgembre</t>
  </si>
  <si>
    <t>Sésame blanc</t>
  </si>
  <si>
    <t>Maizaina</t>
  </si>
  <si>
    <t>🍗 Cuisse de Poulet Croustillante Sauce Teriyaki aux Oignons ✨ Si simple et irrésistible !</t>
  </si>
  <si>
    <t>Poulet croustillant</t>
  </si>
  <si>
    <t>Cuisses de poulet désossées, avec la peau</t>
  </si>
  <si>
    <t>pièces</t>
  </si>
  <si>
    <t>1. Prépare le poulet
Désosse les cuisses de poulet.
Entaille légèrement la chair pour qu’elle cuise uniformément.
Sale les deux faces avec une pincée de sel.
Laisse reposer pendant que tu prépares la sauce.</t>
  </si>
  <si>
    <t>c a s</t>
  </si>
  <si>
    <t>Sauce teriyaki</t>
  </si>
  <si>
    <t>Vinaigrette japonaise + Salade d'algues wakamé et concombre - YouTube</t>
  </si>
  <si>
    <t>Salade de comcombre</t>
  </si>
  <si>
    <t>Réhydrate les algues :
Mets les wakamé séchées dans un bol d’eau froide pendant 30 minutes.
Égoutte-les, presse-les légèrement, puis coupe-les en petits morceaux.
Prépare la vinaigrette :
1 c. à soupe d’huile de sésame,
2 c. à soupe rases d’huile de colza,
1 c. à soupe de vinaigre de riz,
1 c. à soupe de sauce soja,
et 2 tours de moulin à poivre.
Fouette bien pour émulsionner.
Assemble la salade :
Coupe le concombre en tranches fines.
Ajoute les algues réhydratées.
Verse la vinaigrette et mélange doucement.
Finition :
Parseme de graines de sésame grillées.
Serre bien frais.</t>
  </si>
  <si>
    <t>Algues wakamé déshydratées</t>
  </si>
  <si>
    <t>Graines de sésame blanc</t>
  </si>
  <si>
    <t>c a c</t>
  </si>
  <si>
    <t>Vinaigrette japonaise</t>
  </si>
  <si>
    <t>Huile de colza</t>
  </si>
  <si>
    <t>Vinaigre de riz blanc</t>
  </si>
  <si>
    <t>Sauce soja Kikkoman</t>
  </si>
  <si>
    <t>Poivre noir</t>
  </si>
  <si>
    <t>Bœuf sauté à la sauce huître 👍👌 - YouTube</t>
  </si>
  <si>
    <t>Boeuf saut - sauce huitre</t>
  </si>
  <si>
    <t>Marinade du bœuf</t>
  </si>
  <si>
    <t>Bœuf (rumsteck, bavette, ou filet)</t>
  </si>
  <si>
    <t>Recettes faciles</t>
  </si>
  <si>
    <t>Préparation (résumé)
Mariner le bœuf : mélange tous les ingrédients de la marinade, ajoute le bœuf, repose 15 min.
Préparer la sauce : mélange tous les ingrédients de la sauce dans un petit bol.
Cuire le bœuf : saisis 30–60 s à feu vif dans l’huile, retire et réserve.
Faire revenir ail + gingembre dans 10 g d’huile.
Ajouter le bœuf + sauce, cuire 1 min, ajouter la ciboule, mélange 10 s, puis retire du feu.
À servir avec :
150 g de riz blanc cuit
Légumes sautés (brocolis, pois gourmands ou bok choy)</t>
  </si>
  <si>
    <t>Poulet crème moutarde</t>
  </si>
  <si>
    <t>Pizza maison</t>
  </si>
  <si>
    <t>Thon pêche</t>
  </si>
  <si>
    <t>Steak frites</t>
  </si>
  <si>
    <t>Hachi parmentier</t>
  </si>
  <si>
    <t>Chicon braiser</t>
  </si>
  <si>
    <t>Tomate mozzarella</t>
  </si>
  <si>
    <t xml:space="preserve">Salade César: </t>
  </si>
  <si>
    <t>https://cuisine.journaldesfemmes.fr/recette/316406-salade-cesar-rapide</t>
  </si>
  <si>
    <t>Vin de cuisine chinois (Shaoxing)</t>
  </si>
  <si>
    <t>Bicarbonate alimentaire</t>
  </si>
  <si>
    <t>Salade composée</t>
  </si>
  <si>
    <t>Salade</t>
  </si>
  <si>
    <t>Fécule de maïs</t>
  </si>
  <si>
    <t>Mozzarella burratta</t>
  </si>
  <si>
    <t>Oignons</t>
  </si>
  <si>
    <t>Feta?</t>
  </si>
  <si>
    <t xml:space="preserve">Pâte </t>
  </si>
  <si>
    <t>Carbonara</t>
  </si>
  <si>
    <t>Pesto</t>
  </si>
  <si>
    <t>Huile végétale</t>
  </si>
  <si>
    <t>Plat libanais</t>
  </si>
  <si>
    <t>https://chatgpt.com/c/68a58045-5598-8326-8f07-a8d93b350899</t>
  </si>
  <si>
    <t>Sauce soja foncée (noire)</t>
  </si>
  <si>
    <t>Sauce aux huîtres</t>
  </si>
  <si>
    <t>Huile de sésame</t>
  </si>
  <si>
    <t>Aromates &amp; cuisson</t>
  </si>
  <si>
    <t>Gingembre frais</t>
  </si>
  <si>
    <t>Ciboule chinoise (ou oignon vert)</t>
  </si>
  <si>
    <t>Huile de cuisson</t>
  </si>
  <si>
    <t>A rajouter</t>
  </si>
  <si>
    <t>Gyoza - Jiaozi 饺子 - Mandu 만두 : recette complète des raviolis - Cooking With Morgane - YouTube</t>
  </si>
  <si>
    <t>Beef and Vegetable Stir Fry | Beef Chop Suey | Use whatever ingredients you have! - YouTube</t>
  </si>
  <si>
    <t>Bœuf aux oignons : recette facile et rapide - Cooking With Morgane - YouTube</t>
  </si>
  <si>
    <t>Croquette au fromage</t>
  </si>
  <si>
    <t>https://drive.google.com/file/d/1xT3SrBk2okrn2yii7Qjn8QU-MmJ_rKpm/view?usp=sharing</t>
  </si>
  <si>
    <t>poulet citron</t>
  </si>
  <si>
    <t>Nombre pièce</t>
  </si>
  <si>
    <t xml:space="preserve">Préparation
1. Préparer une sauce blanche avec le beurre, la farine, le lait et le sel.
2. Quand la sauce est bien épaisse, y ajouter (hors du feu mais quand la sauce est encore chaude)
    les jaunes d'oeufs et le fromage rapé.
3. Déposer dans un plat et mettre au frigo pendant 2-3 heures ou toute la nuit 
    (étale la pâte sur 2–3 cm d’épaisseur dans un plat filmé)
4. Quand la pâte est bien durcie, faconner les croquettes.
5. Préparer 3 assièttes (1 avec la farine, 1 avec les blancs d'oeufs et un filet d'huile, 1 avec la chapelure)
6. Passer chaque croquette dans la farine puis dans les blancs puis dans la chapelure 2 fois
7. Cuire +- 3min dans une friteuse à 170 degré
</t>
  </si>
  <si>
    <t>Lait</t>
  </si>
  <si>
    <t>Parmesan rapé</t>
  </si>
  <si>
    <t>Emmental rapé</t>
  </si>
  <si>
    <t>Milkshake sorbet citron</t>
  </si>
  <si>
    <t>Faire fondre le beurre
Mets le beurre dans une casserole à fond épais.
Chauffe à feu moyen jusqu’à ce qu’il soit totalement fondu, sans coloration.
Ajouter la farine
Verse d’un coup la farine.
Mélange énergiquement avec une cuillère en bois ou un fouet → tu obtiens une pâte appelée roux.
Laisse cuire 1 à 2 minutes pour éliminer le goût de farine crue (sans laisser brunir).
Incorporer le lait
Hors du feu, ajoute une petite louche de lait froid et fouette pour bien délayer.
Remets sur le feu doux et ajoute progressivement le reste du lait, toujours en fouettant pour éviter les grumeaux.
Cuire la sauce
Porte à petite ébullition en mélangeant constamment.
Laisse cuire quelques minutes : la sauce doit devenir bien épaisse, presque comme une purée.
Assaisonner
Sale légèrement (le fromage apporte déjà du sel).
Ajoute une pincée de noix de muscade râpée.
Incorporer le fromage &amp; jaunes
Retire la casserole du feu.
Ajoute les jaunes d’œufs (1 à 1, en fouettant vite pour éviter qu’ils ne cuisent en grumeaux).
Incorpore ensuite les fromages râpés (parmesan + emmental).
Mélange jusqu’à obtention d’une pâte homogène et épaisse.
Refroidir
Verse la préparation dans un plat (épaisseur 2–3 cm).
Couvre d’un film alimentaire au contact.
Laisse refroidir au frigo 2–3 h minimum (ou une nuit) avant de façonner.</t>
  </si>
  <si>
    <t>Sorbet citron</t>
  </si>
  <si>
    <t xml:space="preserve">1. Commencer par faire de la glace pillée au mixer
2. Ajouter le sorbet, lait de coco, sirop de sucre
3. Mixer
</t>
  </si>
  <si>
    <t>Lait de coco</t>
  </si>
  <si>
    <t>Glacon</t>
  </si>
  <si>
    <t>Sirop de sucre</t>
  </si>
  <si>
    <t>🍋 Ma Tarte citron douce et acidulée</t>
  </si>
  <si>
    <t>🥧 Ma pâte brisée incontournable - YouTube</t>
  </si>
  <si>
    <t>Pour le crémeux citron</t>
  </si>
  <si>
    <t>330 g de jus de citron</t>
  </si>
  <si>
    <t>ATTENTION:</t>
  </si>
  <si>
    <t>Pour ceux qui essayeront un jour de faire cette tarte il est bon de signaler que dans la recette écrite la crème contient 10 oeufs et dans la vidéo on en voit que 6. Quelqu'un a dû confondre la tarte au citron avec une tortilla... ? Pour la meringue il s'agit bien sûr de 3 blancs et non pas de 3 oeufs. Il est bon d'utiliser un thermomètre pour contrôler la température du jus de citron car à partir de 62°C les blancs commencent à coaguler. 50°C suffisent. C'est toujours bien de relire un texte avant de le publier et surtout lorsqu'il s'agit d'une recette. Ca évite de jeter des bons ingrédients à la poubelle. Etchebon, Etchebetter, Etchebest, I shall never rest till my good comes better and my better best</t>
  </si>
  <si>
    <t>250 g de sucre en poudre</t>
  </si>
  <si>
    <t>Encore plus de citron???</t>
  </si>
  <si>
    <t>10 oeufs</t>
  </si>
  <si>
    <t>Moins d'oeuf et 2x plus de maizena?</t>
  </si>
  <si>
    <t>25 g de fécule de maïs</t>
  </si>
  <si>
    <t>100 g de beurre</t>
  </si>
  <si>
    <t>Pour la meringue</t>
  </si>
  <si>
    <t>3 gros oeufs blanc</t>
  </si>
  <si>
    <t>150 g de sucre en poudre</t>
  </si>
  <si>
    <t>Méthode adaptée au Magimix
Prépare ton sirop : 100 g de sucre + 35 g d’eau (pour 2 blancs d’œufs) → monte à 118–121 °C.
Commence à battre tes blancs dans le Magimix jusqu’à ce qu’ils soient mousseux puis presque fermes (pas trop serrés).
Verse ton sirop chaud en filet régulier par l’ouverture, entre la paroi et le fouet.
Ne le verse pas directement sur le fouet, sinon il va éclabousser et cristalliser.
Continue à fouetter jusqu’à ce que la cuve redescende à température ambiante (≈ 5–7 min).
Tu obtiens une meringue italienne lisse, brillante et très stable.
💡 Astuce sécurité : comme le sirop est brûlant, verse-le doucement avec une petite casserole à bec verseur ou une louchette à sirop → c’est plus précis et moins risqué.</t>
  </si>
  <si>
    <t>En fait :
Les œufs commencent à coaguler dès 62–65 °C (les blancs un peu plus bas, les jaunes un peu plus haut).
Mais à 70 °C, tu restes dans une zone « douce » : les protéines coagulent lentement, donc si tu mélanges bien et que la fécule est là, elle protège les œufs de la coagulation brutale.
C’est justement l’intérêt de la fécule : elle stabilise la liaison et empêche les œufs de tourner en omelette à basse température.
👉 Résultat :
À 70 °C, tu obtiens une crème épaissie par la fécule + les œufs qui commencent à prendre → texture crémeuse.
Pour une texture plus « crème anglaise/curd », on monte souvent à 82–84 °C sans fécule.
Avec fécule, tu peux t’arrêter entre 72 et 75 °C, ça suffit pour épaissir sans craindre les grumeaux d’œufs cuits.
⚠️ Important : mélange en continu (fouet ou maryse) pour que la chaleur soit homogène.</t>
  </si>
  <si>
    <t>🥄 La crème brûlée - YouTube</t>
  </si>
  <si>
    <t>La crème brûlée - Philippe Etchebest</t>
  </si>
  <si>
    <t>Crème brûlée – recette facile</t>
  </si>
  <si>
    <t>6 jaunes d’œufs</t>
  </si>
  <si>
    <t>75 g de sucre en poudre</t>
  </si>
  <si>
    <t>5 cl de lait</t>
  </si>
  <si>
    <t>50 cl de crème liquide</t>
  </si>
  <si>
    <t>½ cuil. à café de vanille naturelle en poudre (facultatif)</t>
  </si>
  <si>
    <t>50 g de cassonade (pour la caramélisation)</t>
  </si>
  <si>
    <t>Préparation</t>
  </si>
  <si>
    <t>Préparer l’appareil</t>
  </si>
  <si>
    <t>Séparer les jaunes des blancs.</t>
  </si>
  <si>
    <t>Mélanger immédiatement les jaunes avec le sucre en poudre et fouetter jusqu’à ce que le mélange blanchisse</t>
  </si>
  <si>
    <t>⚠️ Ne jamais laisser le sucre au contact des jaunes sans mélanger, cela les “cuit”.</t>
  </si>
  <si>
    <t>Ajouter le lait, la crème liquide et la vanille (si utilisée), puis bien mélanger.</t>
  </si>
  <si>
    <t>Mise en cuisson</t>
  </si>
  <si>
    <t>Verser l’appareil dans des ramequins.</t>
  </si>
  <si>
    <t>Déposer les ramequins dans un plat à rebords.</t>
  </si>
  <si>
    <t>Ajouter un peu d’eau dans le plat pour créer de la vapeur.</t>
  </si>
  <si>
    <t>Cuire au four préchauffé à 110 °C pendant 1 h à 1 h 15.</t>
  </si>
  <si>
    <t>Repos</t>
  </si>
  <si>
    <t>Laisser refroidir puis placer les crèmes au réfrigérateur, idéalement une nuit.</t>
  </si>
  <si>
    <t>Caramélisation</t>
  </si>
  <si>
    <t>Saupoudrer uniformément de cassonade.</t>
  </si>
  <si>
    <t>Caraméliser au chalumeau (ou à défaut avec un petit chalumeau à cigare).</t>
  </si>
  <si>
    <t>Attention à ne pas brûler : la caramélisation est rapide.</t>
  </si>
  <si>
    <t>Astuces</t>
  </si>
  <si>
    <t>Plus la crème est riche en matière grasse, plus la crème brûlée sera onctueuse.</t>
  </si>
  <si>
    <t>Sans chalumeau, on peut aussi ajouter un caramel fin type “cheveux d’ange” en décoration.</t>
  </si>
  <si>
    <t>La recette peut être aromatisée selon les goûts (vanille, café, agrumes, etc.).</t>
  </si>
  <si>
    <t>👉 Résultat : une crème brûlée simple, économique, fondante, avec une fine croûte bien croquante.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</si>
</sst>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30">
    <font>
      <sz val="10.0"/>
      <color rgb="FF000000"/>
      <name val="Arial"/>
      <scheme val="minor"/>
    </font>
    <font>
      <b/>
      <u/>
      <sz val="15.0"/>
      <color theme="1"/>
      <name val="Arial"/>
      <scheme val="minor"/>
    </font>
    <font>
      <color theme="1"/>
      <name val="Arial"/>
      <scheme val="minor"/>
    </font>
    <font>
      <b/>
      <u/>
      <sz val="12.0"/>
      <color theme="1"/>
      <name val="Arial"/>
      <scheme val="minor"/>
    </font>
    <font>
      <b/>
      <color theme="1"/>
      <name val="Arial"/>
      <scheme val="minor"/>
    </font>
    <font>
      <i/>
      <sz val="9.0"/>
      <color theme="1"/>
      <name val="Arial"/>
      <scheme val="minor"/>
    </font>
    <font>
      <color rgb="FF000000"/>
      <name val="&quot;Arial&quot;"/>
    </font>
    <font>
      <u/>
      <color theme="1"/>
      <name val="Arial"/>
      <scheme val="minor"/>
    </font>
    <font>
      <b/>
      <u/>
      <sz val="12.0"/>
      <color theme="1"/>
      <name val="Arial"/>
      <scheme val="minor"/>
    </font>
    <font>
      <i/>
      <color theme="1"/>
      <name val="Arial"/>
      <scheme val="minor"/>
    </font>
    <font>
      <b/>
      <u/>
      <sz val="14.0"/>
      <color theme="1"/>
      <name val="Arial"/>
      <scheme val="minor"/>
    </font>
    <font>
      <i/>
      <sz val="9.0"/>
      <color rgb="FF000000"/>
      <name val="&quot;Arial&quot;"/>
    </font>
    <font>
      <sz val="11.0"/>
      <color theme="1"/>
      <name val="Calibri"/>
    </font>
    <font>
      <i/>
      <sz val="11.0"/>
      <color theme="1"/>
      <name val="Calibri"/>
    </font>
    <font/>
    <font>
      <u/>
      <color rgb="FF0000FF"/>
    </font>
    <font>
      <b/>
      <u/>
      <sz val="12.0"/>
      <color theme="1"/>
      <name val="Arial"/>
      <scheme val="minor"/>
    </font>
    <font>
      <color theme="1"/>
      <name val="Arial"/>
    </font>
    <font>
      <i/>
      <color theme="1"/>
      <name val="Arial"/>
    </font>
    <font>
      <b/>
      <color theme="1"/>
      <name val="Arial"/>
    </font>
    <font>
      <b/>
      <u/>
      <color theme="1"/>
      <name val="Arial"/>
      <scheme val="minor"/>
    </font>
    <font>
      <u/>
      <color theme="1"/>
      <name val="Arial"/>
      <scheme val="minor"/>
    </font>
    <font>
      <u/>
      <color rgb="FF0000FF"/>
    </font>
    <font>
      <b/>
      <sz val="12.0"/>
      <color theme="1"/>
      <name val="Arial"/>
      <scheme val="minor"/>
    </font>
    <font>
      <color rgb="FF131313"/>
      <name val="Arial"/>
      <scheme val="minor"/>
    </font>
    <font>
      <u/>
      <color theme="1"/>
      <name val="Arial"/>
      <scheme val="minor"/>
    </font>
    <font>
      <i/>
      <color rgb="FF131313"/>
      <name val="Arial"/>
      <scheme val="minor"/>
    </font>
    <font>
      <b/>
      <sz val="11.0"/>
      <color theme="1"/>
      <name val="Calibri"/>
    </font>
    <font>
      <sz val="10.0"/>
      <color theme="1"/>
      <name val="Arial"/>
      <scheme val="minor"/>
    </font>
    <font>
      <u/>
      <color rgb="FF0000FF"/>
    </font>
  </fonts>
  <fills count="5">
    <fill>
      <patternFill patternType="none"/>
    </fill>
    <fill>
      <patternFill patternType="lightGray"/>
    </fill>
    <fill>
      <patternFill patternType="solid">
        <fgColor rgb="FFFFFFFF"/>
        <bgColor rgb="FFFFFFFF"/>
      </patternFill>
    </fill>
    <fill>
      <patternFill patternType="solid">
        <fgColor rgb="FF4F81BD"/>
        <bgColor rgb="FF4F81BD"/>
      </patternFill>
    </fill>
    <fill>
      <patternFill patternType="solid">
        <fgColor rgb="FFDBE5F1"/>
        <bgColor rgb="FFDBE5F1"/>
      </patternFill>
    </fill>
  </fills>
  <borders count="39">
    <border/>
    <border>
      <left style="double">
        <color rgb="FF000000"/>
      </left>
      <right style="double">
        <color rgb="FF000000"/>
      </right>
      <top style="double">
        <color rgb="FF000000"/>
      </top>
      <bottom style="hair">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right style="double">
        <color rgb="FF000000"/>
      </right>
      <top style="hair">
        <color rgb="FF000000"/>
      </top>
      <bottom style="hair">
        <color rgb="FF000000"/>
      </bottom>
    </border>
    <border>
      <left style="double">
        <color rgb="FF000000"/>
      </left>
      <right style="double">
        <color rgb="FF000000"/>
      </right>
      <top style="hair">
        <color rgb="FF000000"/>
      </top>
      <bottom style="hair">
        <color rgb="FF000000"/>
      </bottom>
    </border>
    <border>
      <left style="double">
        <color rgb="FF000000"/>
      </left>
      <right style="dotted">
        <color rgb="FF000000"/>
      </right>
      <top style="double">
        <color rgb="FF000000"/>
      </top>
    </border>
    <border>
      <left style="thin">
        <color rgb="FF000000"/>
      </left>
      <top style="thin">
        <color rgb="FF000000"/>
      </top>
    </border>
    <border>
      <top style="thin">
        <color rgb="FF000000"/>
      </top>
    </border>
    <border>
      <left style="dotted">
        <color rgb="FF000000"/>
      </left>
      <right style="double">
        <color rgb="FF000000"/>
      </right>
      <top style="double">
        <color rgb="FF000000"/>
      </top>
    </border>
    <border>
      <right style="thin">
        <color rgb="FF000000"/>
      </right>
      <top style="thin">
        <color rgb="FF000000"/>
      </top>
    </border>
    <border>
      <left style="double">
        <color rgb="FF000000"/>
      </left>
      <right style="double">
        <color rgb="FF000000"/>
      </right>
      <top style="hair">
        <color rgb="FF000000"/>
      </top>
      <bottom style="double">
        <color rgb="FF000000"/>
      </bottom>
    </border>
    <border>
      <left style="thin">
        <color rgb="FF000000"/>
      </left>
    </border>
    <border>
      <left style="double">
        <color rgb="FF000000"/>
      </left>
      <right style="dotted">
        <color rgb="FF000000"/>
      </right>
    </border>
    <border>
      <right style="thin">
        <color rgb="FF000000"/>
      </right>
    </border>
    <border>
      <left style="dotted">
        <color rgb="FF000000"/>
      </left>
      <right style="double">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double">
        <color rgb="FF000000"/>
      </left>
      <right style="double">
        <color rgb="FF000000"/>
      </right>
      <top style="hair">
        <color rgb="FF000000"/>
      </top>
    </border>
    <border>
      <left style="double">
        <color rgb="FF000000"/>
      </left>
      <right style="double">
        <color rgb="FF000000"/>
      </right>
    </border>
    <border>
      <left style="double">
        <color rgb="FF000000"/>
      </left>
      <right style="dotted">
        <color rgb="FF000000"/>
      </right>
      <bottom style="double">
        <color rgb="FF000000"/>
      </bottom>
    </border>
    <border>
      <left style="dotted">
        <color rgb="FF000000"/>
      </left>
      <right style="double">
        <color rgb="FF000000"/>
      </right>
      <bottom style="double">
        <color rgb="FF000000"/>
      </bottom>
    </border>
    <border>
      <left style="double">
        <color rgb="FF000000"/>
      </left>
      <right style="double">
        <color rgb="FF000000"/>
      </right>
      <bottom style="double">
        <color rgb="FF000000"/>
      </bottom>
    </border>
    <border>
      <top style="double">
        <color rgb="FF000000"/>
      </top>
    </border>
    <border>
      <left style="thin">
        <color rgb="FF000000"/>
      </left>
      <top style="thin">
        <color rgb="FF000000"/>
      </top>
      <bottom style="thin">
        <color rgb="FF000000"/>
      </bottom>
    </border>
    <border>
      <left style="double">
        <color rgb="FF000000"/>
      </left>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double">
        <color rgb="FF000000"/>
      </right>
      <top style="double">
        <color rgb="FF000000"/>
      </top>
      <bottom style="double">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000000"/>
      </left>
      <top style="hair">
        <color rgb="FF000000"/>
      </top>
      <bottom style="hair">
        <color rgb="FF000000"/>
      </bottom>
    </border>
    <border>
      <left style="double">
        <color rgb="FF000000"/>
      </left>
      <top style="hair">
        <color rgb="FF000000"/>
      </top>
      <bottom style="double">
        <color rgb="FF000000"/>
      </bottom>
    </border>
    <border>
      <right style="double">
        <color rgb="FF000000"/>
      </right>
      <top style="hair">
        <color rgb="FF000000"/>
      </top>
      <bottom style="double">
        <color rgb="FF000000"/>
      </bottom>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center"/>
    </xf>
    <xf borderId="0" fillId="0" fontId="2" numFmtId="0" xfId="0" applyAlignment="1" applyFont="1">
      <alignment horizontal="left"/>
    </xf>
    <xf borderId="0" fillId="0" fontId="3" numFmtId="0" xfId="0" applyAlignment="1" applyFont="1">
      <alignment horizontal="left" readingOrder="0"/>
    </xf>
    <xf borderId="0" fillId="0" fontId="4" numFmtId="0" xfId="0" applyAlignment="1" applyFont="1">
      <alignment horizontal="left" readingOrder="0"/>
    </xf>
    <xf borderId="0" fillId="0" fontId="4" numFmtId="0" xfId="0" applyAlignment="1" applyFont="1">
      <alignment horizontal="center" readingOrder="0"/>
    </xf>
    <xf borderId="0" fillId="0" fontId="5" numFmtId="0" xfId="0" applyAlignment="1" applyFont="1">
      <alignment horizontal="center" readingOrder="0"/>
    </xf>
    <xf borderId="0" fillId="0" fontId="2" numFmtId="0" xfId="0" applyAlignment="1" applyFont="1">
      <alignment shrinkToFit="0" wrapText="1"/>
    </xf>
    <xf borderId="1" fillId="0" fontId="6" numFmtId="0" xfId="0" applyAlignment="1" applyBorder="1" applyFont="1">
      <alignment horizontal="left" readingOrder="0"/>
    </xf>
    <xf borderId="0" fillId="0" fontId="2" numFmtId="0" xfId="0" applyAlignment="1" applyFont="1">
      <alignment horizontal="left" readingOrder="0"/>
    </xf>
    <xf borderId="0" fillId="0" fontId="7" numFmtId="0" xfId="0" applyAlignment="1" applyFont="1">
      <alignment readingOrder="0"/>
    </xf>
    <xf borderId="0" fillId="0" fontId="2" numFmtId="0" xfId="0" applyAlignment="1" applyFont="1">
      <alignment horizontal="center"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4" numFmtId="0" xfId="0" applyAlignment="1" applyFont="1">
      <alignment readingOrder="0"/>
    </xf>
    <xf borderId="0" fillId="2" fontId="12" numFmtId="0" xfId="0" applyAlignment="1" applyFill="1" applyFont="1">
      <alignment vertical="bottom"/>
    </xf>
    <xf borderId="2" fillId="0" fontId="6" numFmtId="0" xfId="0" applyAlignment="1" applyBorder="1" applyFont="1">
      <alignment horizontal="center" readingOrder="0"/>
    </xf>
    <xf borderId="0" fillId="2" fontId="12" numFmtId="0" xfId="0" applyAlignment="1" applyFill="1" applyFont="1">
      <alignment horizontal="center" vertical="bottom"/>
    </xf>
    <xf borderId="1" fillId="0" fontId="6" numFmtId="0" xfId="0" applyAlignment="1" applyBorder="1" applyFont="1">
      <alignment horizontal="center" readingOrder="0"/>
    </xf>
    <xf borderId="1" fillId="0" fontId="2" numFmtId="0" xfId="0" applyAlignment="1" applyBorder="1" applyFont="1">
      <alignment horizontal="center" readingOrder="0"/>
    </xf>
    <xf borderId="0" fillId="2" fontId="2" numFmtId="0" xfId="0" applyFill="1" applyFont="1"/>
    <xf borderId="3" fillId="0" fontId="2" numFmtId="0" xfId="0" applyAlignment="1" applyBorder="1" applyFont="1">
      <alignment horizontal="center" readingOrder="0"/>
    </xf>
    <xf borderId="4" fillId="0" fontId="2" numFmtId="0" xfId="0" applyAlignment="1" applyBorder="1" applyFont="1">
      <alignment horizontal="left" readingOrder="0"/>
    </xf>
    <xf borderId="0" fillId="2" fontId="12" numFmtId="0" xfId="0" applyAlignment="1" applyFill="1" applyFont="1">
      <alignment readingOrder="0" vertical="bottom"/>
    </xf>
    <xf borderId="1" fillId="0" fontId="2" numFmtId="0" xfId="0" applyAlignment="1" applyBorder="1" applyFont="1">
      <alignment horizontal="left" readingOrder="0" shrinkToFit="0" wrapText="0"/>
    </xf>
    <xf borderId="5" fillId="0" fontId="2" numFmtId="0" xfId="0" applyAlignment="1" applyBorder="1" applyFont="1">
      <alignment horizontal="center" readingOrder="0"/>
    </xf>
    <xf borderId="1" fillId="0" fontId="2" numFmtId="0" xfId="0" applyAlignment="1" applyBorder="1" applyFont="1">
      <alignment horizontal="left" readingOrder="0"/>
    </xf>
    <xf borderId="0" fillId="2" fontId="13" numFmtId="0" xfId="0" applyAlignment="1" applyFill="1" applyFont="1">
      <alignment readingOrder="0" vertical="bottom"/>
    </xf>
    <xf borderId="5" fillId="0" fontId="2" numFmtId="0" xfId="0" applyAlignment="1" applyBorder="1" applyFont="1">
      <alignment horizontal="left" readingOrder="0"/>
    </xf>
    <xf borderId="6" fillId="0" fontId="2" numFmtId="0" xfId="0" applyAlignment="1" applyBorder="1" applyFont="1">
      <alignment horizontal="center" readingOrder="0"/>
    </xf>
    <xf borderId="7" fillId="0" fontId="2" numFmtId="0" xfId="0" applyAlignment="1" applyBorder="1" applyFont="1">
      <alignment horizontal="left" readingOrder="0" vertical="center"/>
    </xf>
    <xf borderId="8" fillId="0" fontId="14" numFmtId="0" xfId="0" applyBorder="1" applyFont="1"/>
    <xf borderId="9" fillId="0" fontId="6" numFmtId="0" xfId="0" applyAlignment="1" applyBorder="1" applyFont="1">
      <alignment readingOrder="0" shrinkToFit="0" wrapText="1"/>
    </xf>
    <xf borderId="10" fillId="0" fontId="14" numFmtId="0" xfId="0" applyBorder="1" applyFont="1"/>
    <xf borderId="0" fillId="3" fontId="12" numFmtId="0" xfId="0" applyAlignment="1" applyFill="1" applyFont="1">
      <alignment vertical="bottom"/>
    </xf>
    <xf borderId="0" fillId="0" fontId="6" numFmtId="0" xfId="0" applyAlignment="1" applyFont="1">
      <alignment readingOrder="0"/>
    </xf>
    <xf borderId="0" fillId="3" fontId="12" numFmtId="0" xfId="0" applyAlignment="1" applyFill="1" applyFont="1">
      <alignment horizontal="center" vertical="bottom"/>
    </xf>
    <xf borderId="5" fillId="0" fontId="6" numFmtId="0" xfId="0" applyAlignment="1" applyBorder="1" applyFont="1">
      <alignment horizontal="center" readingOrder="0"/>
    </xf>
    <xf borderId="0" fillId="4" fontId="12" numFmtId="0" xfId="0" applyAlignment="1" applyFill="1" applyFont="1">
      <alignment horizontal="right" readingOrder="0" vertical="bottom"/>
    </xf>
    <xf borderId="11" fillId="0" fontId="2" numFmtId="0" xfId="0" applyAlignment="1" applyBorder="1" applyFont="1">
      <alignment horizontal="left" readingOrder="0"/>
    </xf>
    <xf borderId="5" fillId="0" fontId="2" numFmtId="0" xfId="0" applyAlignment="1" applyBorder="1" applyFont="1">
      <alignment horizontal="left" readingOrder="0" shrinkToFit="0" wrapText="0"/>
    </xf>
    <xf borderId="0" fillId="4" fontId="12" numFmtId="0" xfId="0" applyAlignment="1" applyFill="1" applyFont="1">
      <alignment horizontal="center" readingOrder="0" vertical="bottom"/>
    </xf>
    <xf borderId="12" fillId="0" fontId="14" numFmtId="0" xfId="0" applyBorder="1" applyFont="1"/>
    <xf borderId="11" fillId="0" fontId="2" numFmtId="0" xfId="0" applyAlignment="1" applyBorder="1" applyFont="1">
      <alignment horizontal="center" readingOrder="0"/>
    </xf>
    <xf borderId="14" fillId="0" fontId="14" numFmtId="0" xfId="0" applyBorder="1" applyFont="1"/>
    <xf borderId="13" fillId="0" fontId="2" numFmtId="0" xfId="0" applyAlignment="1" applyBorder="1" applyFont="1">
      <alignment horizontal="center" readingOrder="0"/>
    </xf>
    <xf borderId="11" fillId="0" fontId="6" numFmtId="0" xfId="0" applyAlignment="1" applyBorder="1" applyFont="1">
      <alignment horizontal="center" readingOrder="0"/>
    </xf>
    <xf borderId="0" fillId="0" fontId="2" numFmtId="0" xfId="0" applyAlignment="1" applyFont="1">
      <alignment readingOrder="0"/>
    </xf>
    <xf borderId="0" fillId="0" fontId="6" numFmtId="0" xfId="0" applyAlignment="1" applyFont="1">
      <alignment horizontal="left" readingOrder="0"/>
    </xf>
    <xf borderId="0" fillId="0" fontId="6" numFmtId="0" xfId="0" applyAlignment="1" applyFont="1">
      <alignment horizontal="center" readingOrder="0"/>
    </xf>
    <xf borderId="15" fillId="0" fontId="6" numFmtId="0" xfId="0" applyAlignment="1" applyBorder="1" applyFont="1">
      <alignment readingOrder="0" shrinkToFit="0" wrapText="1"/>
    </xf>
    <xf borderId="16" fillId="0" fontId="14" numFmtId="0" xfId="0" applyBorder="1" applyFont="1"/>
    <xf borderId="17" fillId="0" fontId="14" numFmtId="0" xfId="0" applyBorder="1" applyFont="1"/>
    <xf borderId="18" fillId="0" fontId="14" numFmtId="0" xfId="0" applyBorder="1" applyFont="1"/>
    <xf borderId="0" fillId="0" fontId="15" numFmtId="0" xfId="0" applyAlignment="1" applyFont="1">
      <alignment readingOrder="0"/>
    </xf>
    <xf borderId="11" fillId="0" fontId="2" numFmtId="0" xfId="0" applyAlignment="1" applyBorder="1" applyFont="1">
      <alignment horizontal="left" readingOrder="0" shrinkToFit="0" wrapText="0"/>
    </xf>
    <xf borderId="0" fillId="0" fontId="2" numFmtId="0" xfId="0" applyAlignment="1" applyFont="1">
      <alignment readingOrder="0"/>
    </xf>
    <xf borderId="0" fillId="4" fontId="12" numFmtId="0" xfId="0" applyAlignment="1" applyFill="1" applyFont="1">
      <alignment horizontal="right" vertical="bottom"/>
    </xf>
    <xf borderId="5" fillId="0" fontId="6" numFmtId="0" xfId="0" applyAlignment="1" applyBorder="1" applyFont="1">
      <alignment horizontal="left" readingOrder="0"/>
    </xf>
    <xf borderId="7" fillId="0" fontId="2" numFmtId="0" xfId="0" applyAlignment="1" applyBorder="1" applyFont="1">
      <alignment readingOrder="0"/>
    </xf>
    <xf borderId="7" fillId="0" fontId="6" numFmtId="0" xfId="0" applyAlignment="1" applyBorder="1" applyFont="1">
      <alignment readingOrder="0" shrinkToFit="0" vertical="center" wrapText="1"/>
    </xf>
    <xf borderId="15" fillId="0" fontId="2" numFmtId="0" xfId="0" applyAlignment="1" applyBorder="1" applyFont="1">
      <alignment readingOrder="0" shrinkToFit="0" wrapText="1"/>
    </xf>
    <xf borderId="19" fillId="0" fontId="2" numFmtId="0" xfId="0" applyAlignment="1" applyBorder="1" applyFont="1">
      <alignment horizontal="left" readingOrder="0"/>
    </xf>
    <xf borderId="19" fillId="0" fontId="2" numFmtId="0" xfId="0" applyAlignment="1" applyBorder="1" applyFont="1">
      <alignment horizontal="center" readingOrder="0"/>
    </xf>
    <xf borderId="20" fillId="0" fontId="2" numFmtId="0" xfId="0" applyAlignment="1" applyBorder="1" applyFont="1">
      <alignment horizontal="left" readingOrder="0"/>
    </xf>
    <xf borderId="20" fillId="0" fontId="2" numFmtId="0" xfId="0" applyAlignment="1" applyBorder="1" applyFont="1">
      <alignment horizontal="center" readingOrder="0"/>
    </xf>
    <xf borderId="21" fillId="0" fontId="2" numFmtId="0" xfId="0" applyAlignment="1" applyBorder="1" applyFont="1">
      <alignment horizontal="center" readingOrder="0"/>
    </xf>
    <xf borderId="22" fillId="0" fontId="2" numFmtId="0" xfId="0" applyAlignment="1" applyBorder="1" applyFont="1">
      <alignment readingOrder="0" shrinkToFit="0" wrapText="1"/>
    </xf>
    <xf borderId="23" fillId="0" fontId="2" numFmtId="0" xfId="0" applyAlignment="1" applyBorder="1" applyFont="1">
      <alignment horizontal="left" readingOrder="0"/>
    </xf>
    <xf borderId="23" fillId="0" fontId="2" numFmtId="0" xfId="0" applyAlignment="1" applyBorder="1" applyFont="1">
      <alignment horizontal="center" readingOrder="0"/>
    </xf>
    <xf borderId="24" fillId="0" fontId="2" numFmtId="0" xfId="0" applyAlignment="1" applyBorder="1" applyFont="1">
      <alignment horizontal="left" readingOrder="0"/>
    </xf>
    <xf borderId="0" fillId="0" fontId="6" numFmtId="0" xfId="0" applyAlignment="1" applyFont="1">
      <alignment readingOrder="0" shrinkToFit="0" vertical="center" wrapText="1"/>
    </xf>
    <xf borderId="24" fillId="0" fontId="2" numFmtId="0" xfId="0" applyAlignment="1" applyBorder="1" applyFont="1">
      <alignment horizontal="center" readingOrder="0"/>
    </xf>
    <xf borderId="7" fillId="0" fontId="2" numFmtId="0" xfId="0" applyAlignment="1" applyBorder="1" applyFont="1">
      <alignment readingOrder="0" vertical="center"/>
    </xf>
    <xf borderId="24" fillId="0" fontId="6" numFmtId="0" xfId="0" applyAlignment="1" applyBorder="1" applyFont="1">
      <alignment horizontal="center" readingOrder="0"/>
    </xf>
    <xf borderId="25" fillId="0" fontId="6" numFmtId="0" xfId="0" applyAlignment="1" applyBorder="1" applyFont="1">
      <alignment horizontal="center" readingOrder="0"/>
    </xf>
    <xf borderId="7" fillId="0" fontId="6" numFmtId="0" xfId="0" applyAlignment="1" applyBorder="1" applyFont="1">
      <alignment readingOrder="0" vertical="center"/>
    </xf>
    <xf borderId="5" fillId="0" fontId="2" numFmtId="0" xfId="0" applyAlignment="1" applyBorder="1" applyFont="1">
      <alignment horizontal="left" readingOrder="0" shrinkToFit="0" wrapText="1"/>
    </xf>
    <xf borderId="26" fillId="0" fontId="6" numFmtId="0" xfId="0" applyAlignment="1" applyBorder="1" applyFont="1">
      <alignment horizontal="left" readingOrder="0"/>
    </xf>
    <xf borderId="5" fillId="0" fontId="2" numFmtId="0" xfId="0" applyAlignment="1" applyBorder="1" applyFont="1">
      <alignment horizontal="center"/>
    </xf>
    <xf borderId="27" fillId="0" fontId="2" numFmtId="0" xfId="0" applyAlignment="1" applyBorder="1" applyFont="1">
      <alignment horizontal="center" readingOrder="0"/>
    </xf>
    <xf borderId="5" fillId="0" fontId="2" numFmtId="0" xfId="0" applyAlignment="1" applyBorder="1" applyFont="1">
      <alignment horizontal="left"/>
    </xf>
    <xf borderId="5" fillId="0" fontId="2" numFmtId="0" xfId="0" applyAlignment="1" applyBorder="1" applyFont="1">
      <alignment readingOrder="0"/>
    </xf>
    <xf borderId="7" fillId="0" fontId="2" numFmtId="0" xfId="0" applyAlignment="1" applyBorder="1" applyFont="1">
      <alignment horizontal="left" readingOrder="0" shrinkToFit="0" vertical="center" wrapText="0"/>
    </xf>
    <xf borderId="11" fillId="0" fontId="2" numFmtId="0" xfId="0" applyAlignment="1" applyBorder="1" applyFont="1">
      <alignment readingOrder="0"/>
    </xf>
    <xf borderId="25" fillId="0" fontId="2" numFmtId="0" xfId="0" applyAlignment="1" applyBorder="1" applyFont="1">
      <alignment horizontal="center" readingOrder="0"/>
    </xf>
    <xf borderId="11" fillId="0" fontId="2" numFmtId="0" xfId="0" applyAlignment="1" applyBorder="1" applyFont="1">
      <alignment horizontal="center"/>
    </xf>
    <xf borderId="28" fillId="0" fontId="2" numFmtId="0" xfId="0" applyAlignment="1" applyBorder="1" applyFont="1">
      <alignment horizontal="left" readingOrder="0"/>
    </xf>
    <xf borderId="11" fillId="0" fontId="2" numFmtId="0" xfId="0" applyBorder="1" applyFont="1"/>
    <xf borderId="11" fillId="0" fontId="2" numFmtId="0" xfId="0" applyAlignment="1" applyBorder="1" applyFont="1">
      <alignment horizontal="left"/>
    </xf>
    <xf borderId="29" fillId="0" fontId="2" numFmtId="0" xfId="0" applyAlignment="1" applyBorder="1" applyFont="1">
      <alignment horizontal="center" readingOrder="0"/>
    </xf>
    <xf borderId="30" fillId="0" fontId="2" numFmtId="0" xfId="0" applyAlignment="1" applyBorder="1" applyFont="1">
      <alignment horizontal="left" readingOrder="0"/>
    </xf>
    <xf borderId="31" fillId="0" fontId="2" numFmtId="0" xfId="0" applyAlignment="1" applyBorder="1" applyFont="1">
      <alignment horizontal="center" readingOrder="0"/>
    </xf>
    <xf borderId="32" fillId="0" fontId="2" numFmtId="0" xfId="0" applyAlignment="1" applyBorder="1" applyFont="1">
      <alignment horizontal="center" readingOrder="0"/>
    </xf>
    <xf borderId="7" fillId="0" fontId="2" numFmtId="0" xfId="0" applyAlignment="1" applyBorder="1" applyFont="1">
      <alignment readingOrder="0" shrinkToFit="0" vertical="center" wrapText="1"/>
    </xf>
    <xf borderId="0" fillId="0" fontId="2" numFmtId="0" xfId="0" applyAlignment="1" applyFont="1">
      <alignment readingOrder="0" vertical="center"/>
    </xf>
    <xf borderId="22" fillId="0" fontId="6" numFmtId="0" xfId="0" applyAlignment="1" applyBorder="1" applyFont="1">
      <alignment readingOrder="0" shrinkToFit="0" wrapText="1"/>
    </xf>
    <xf borderId="19" fillId="0" fontId="2" numFmtId="0" xfId="0" applyAlignment="1" applyBorder="1" applyFont="1">
      <alignment horizontal="left" readingOrder="0" shrinkToFit="0" wrapText="0"/>
    </xf>
    <xf borderId="0" fillId="0" fontId="16" numFmtId="0" xfId="0" applyAlignment="1" applyFont="1">
      <alignment readingOrder="0"/>
    </xf>
    <xf borderId="0" fillId="0" fontId="2" numFmtId="0" xfId="0" applyAlignment="1" applyFont="1">
      <alignment horizontal="left" readingOrder="0" shrinkToFit="0" wrapText="0"/>
    </xf>
    <xf borderId="1" fillId="0" fontId="2" numFmtId="0" xfId="0" applyAlignment="1" applyBorder="1" applyFont="1">
      <alignment readingOrder="0"/>
    </xf>
    <xf borderId="0" fillId="0" fontId="2" numFmtId="0" xfId="0" applyAlignment="1" applyFont="1">
      <alignment horizontal="center" readingOrder="0" shrinkToFit="0" wrapText="1"/>
    </xf>
    <xf borderId="33" fillId="0" fontId="6" numFmtId="0" xfId="0" applyAlignment="1" applyBorder="1" applyFont="1">
      <alignment horizontal="left" readingOrder="0"/>
    </xf>
    <xf borderId="33" fillId="0" fontId="6" numFmtId="0" xfId="0" applyAlignment="1" applyBorder="1" applyFont="1">
      <alignment horizontal="center" readingOrder="0"/>
    </xf>
    <xf borderId="33" fillId="0" fontId="2" numFmtId="0" xfId="0" applyAlignment="1" applyBorder="1" applyFont="1">
      <alignment horizontal="left" readingOrder="0" shrinkToFit="0" wrapText="0"/>
    </xf>
    <xf borderId="25" fillId="0" fontId="2" numFmtId="0" xfId="0" applyAlignment="1" applyBorder="1" applyFont="1">
      <alignment readingOrder="0"/>
    </xf>
    <xf borderId="34" fillId="0" fontId="14" numFmtId="0" xfId="0" applyBorder="1" applyFont="1"/>
    <xf borderId="35" fillId="0" fontId="14" numFmtId="0" xfId="0" applyBorder="1" applyFont="1"/>
    <xf borderId="0" fillId="0" fontId="17" numFmtId="0" xfId="0" applyAlignment="1" applyFont="1">
      <alignment vertical="bottom"/>
    </xf>
    <xf borderId="0" fillId="0" fontId="18" numFmtId="0" xfId="0" applyAlignment="1" applyFont="1">
      <alignment vertical="bottom"/>
    </xf>
    <xf borderId="0" fillId="0" fontId="17" numFmtId="0" xfId="0" applyAlignment="1" applyFont="1">
      <alignment horizontal="center" vertical="bottom"/>
    </xf>
    <xf borderId="0" fillId="0" fontId="17" numFmtId="0" xfId="0" applyAlignment="1" applyFont="1">
      <alignment vertical="bottom"/>
    </xf>
    <xf borderId="0" fillId="0" fontId="19" numFmtId="0" xfId="0" applyAlignment="1" applyFont="1">
      <alignment vertical="bottom"/>
    </xf>
    <xf borderId="0" fillId="0" fontId="19" numFmtId="0" xfId="0" applyAlignment="1" applyFont="1">
      <alignment horizontal="center" vertical="bottom"/>
    </xf>
    <xf borderId="0" fillId="0" fontId="19" numFmtId="0" xfId="0" applyAlignment="1" applyFont="1">
      <alignment vertical="bottom"/>
    </xf>
    <xf borderId="1" fillId="0" fontId="17" numFmtId="0" xfId="0" applyAlignment="1" applyBorder="1" applyFont="1">
      <alignment vertical="bottom"/>
    </xf>
    <xf borderId="0" fillId="0" fontId="20" numFmtId="0" xfId="0" applyAlignment="1" applyFont="1">
      <alignment readingOrder="0"/>
    </xf>
    <xf borderId="1" fillId="0" fontId="17" numFmtId="0" xfId="0" applyAlignment="1" applyBorder="1" applyFont="1">
      <alignment horizontal="center" vertical="bottom"/>
    </xf>
    <xf borderId="1" fillId="0" fontId="17" numFmtId="0" xfId="0" applyAlignment="1" applyBorder="1" applyFont="1">
      <alignment shrinkToFit="0" vertical="bottom" wrapText="0"/>
    </xf>
    <xf borderId="11" fillId="0" fontId="17" numFmtId="0" xfId="0" applyAlignment="1" applyBorder="1" applyFont="1">
      <alignment vertical="bottom"/>
    </xf>
    <xf borderId="11" fillId="0" fontId="17" numFmtId="0" xfId="0" applyAlignment="1" applyBorder="1" applyFont="1">
      <alignment horizontal="center" vertical="bottom"/>
    </xf>
    <xf borderId="11" fillId="0" fontId="17" numFmtId="0" xfId="0" applyAlignment="1" applyBorder="1" applyFont="1">
      <alignment shrinkToFit="0" vertical="bottom" wrapText="0"/>
    </xf>
    <xf borderId="0" fillId="0" fontId="21" numFmtId="0" xfId="0" applyAlignment="1" applyFont="1">
      <alignment readingOrder="0"/>
    </xf>
    <xf borderId="1" fillId="0" fontId="2" numFmtId="0" xfId="0" applyAlignment="1" applyBorder="1" applyFont="1">
      <alignment horizontal="center"/>
    </xf>
    <xf borderId="0" fillId="0" fontId="22" numFmtId="0" xfId="0" applyAlignment="1" applyFont="1">
      <alignment horizontal="left" readingOrder="0" shrinkToFit="0" wrapText="0"/>
    </xf>
    <xf borderId="0" fillId="0" fontId="23" numFmtId="0" xfId="0" applyAlignment="1" applyFont="1">
      <alignment readingOrder="0"/>
    </xf>
    <xf borderId="1" fillId="0" fontId="24" numFmtId="0" xfId="0" applyAlignment="1" applyBorder="1" applyFont="1">
      <alignment readingOrder="0"/>
    </xf>
    <xf borderId="0" fillId="0" fontId="2" numFmtId="0" xfId="0" applyAlignment="1" applyFont="1">
      <alignment horizontal="left" readingOrder="0"/>
    </xf>
    <xf borderId="0" fillId="0" fontId="25" numFmtId="0" xfId="0" applyFont="1"/>
    <xf borderId="11" fillId="0" fontId="2" numFmtId="4" xfId="0" applyAlignment="1" applyBorder="1" applyFont="1" applyNumberFormat="1">
      <alignment horizontal="center" readingOrder="0"/>
    </xf>
    <xf borderId="0" fillId="0" fontId="26" numFmtId="0" xfId="0" applyAlignment="1" applyFont="1">
      <alignment readingOrder="0"/>
    </xf>
    <xf borderId="19" fillId="0" fontId="6" numFmtId="0" xfId="0" applyAlignment="1" applyBorder="1" applyFont="1">
      <alignment horizontal="left" readingOrder="0"/>
    </xf>
    <xf borderId="19" fillId="0" fontId="2" numFmtId="0" xfId="0" applyAlignment="1" applyBorder="1" applyFont="1">
      <alignment horizontal="center"/>
    </xf>
    <xf borderId="1" fillId="0" fontId="12" numFmtId="0" xfId="0" applyAlignment="1" applyBorder="1" applyFont="1">
      <alignment vertical="bottom"/>
    </xf>
    <xf borderId="1" fillId="0" fontId="12" numFmtId="0" xfId="0" applyAlignment="1" applyBorder="1" applyFont="1">
      <alignment horizontal="right" vertical="bottom"/>
    </xf>
    <xf borderId="0" fillId="0" fontId="12" numFmtId="0" xfId="0" applyAlignment="1" applyFont="1">
      <alignment vertical="bottom"/>
    </xf>
    <xf borderId="0" fillId="0" fontId="12" numFmtId="0" xfId="0" applyAlignment="1" applyFont="1">
      <alignment horizontal="right" vertical="bottom"/>
    </xf>
    <xf borderId="0" fillId="0" fontId="27" numFmtId="0" xfId="0" applyAlignment="1" applyFont="1">
      <alignment horizontal="center" vertical="top"/>
    </xf>
    <xf borderId="0" fillId="0" fontId="27" numFmtId="0" xfId="0" applyAlignment="1" applyFont="1">
      <alignment horizontal="center" readingOrder="0" vertical="top"/>
    </xf>
    <xf borderId="5" fillId="0" fontId="12" numFmtId="0" xfId="0" applyAlignment="1" applyBorder="1" applyFont="1">
      <alignment vertical="bottom"/>
    </xf>
    <xf borderId="0" fillId="0" fontId="12" numFmtId="0" xfId="0" applyAlignment="1" applyFont="1">
      <alignment readingOrder="0" vertical="bottom"/>
    </xf>
    <xf borderId="5" fillId="0" fontId="12" numFmtId="0" xfId="0" applyAlignment="1" applyBorder="1" applyFont="1">
      <alignment horizontal="right" vertical="bottom"/>
    </xf>
    <xf borderId="5" fillId="0" fontId="12" numFmtId="0" xfId="0" applyAlignment="1" applyBorder="1" applyFont="1">
      <alignment readingOrder="0" vertical="bottom"/>
    </xf>
    <xf borderId="0" fillId="0" fontId="12" numFmtId="0" xfId="0" applyAlignment="1" applyFont="1">
      <alignment horizontal="center" vertical="bottom"/>
    </xf>
    <xf borderId="1" fillId="0" fontId="6" numFmtId="164" xfId="0" applyAlignment="1" applyBorder="1" applyFont="1" applyNumberFormat="1">
      <alignment horizontal="center" readingOrder="0"/>
    </xf>
    <xf borderId="5" fillId="0" fontId="2" numFmtId="0" xfId="0" applyBorder="1" applyFont="1"/>
    <xf borderId="25" fillId="0" fontId="2" numFmtId="164" xfId="0" applyAlignment="1" applyBorder="1" applyFont="1" applyNumberFormat="1">
      <alignment horizontal="center" readingOrder="0"/>
    </xf>
    <xf borderId="5" fillId="0" fontId="2" numFmtId="164" xfId="0" applyAlignment="1" applyBorder="1" applyFont="1" applyNumberFormat="1">
      <alignment horizontal="center" readingOrder="0"/>
    </xf>
    <xf borderId="11" fillId="0" fontId="12" numFmtId="0" xfId="0" applyAlignment="1" applyBorder="1" applyFont="1">
      <alignment vertical="bottom"/>
    </xf>
    <xf borderId="11" fillId="0" fontId="12" numFmtId="0" xfId="0" applyAlignment="1" applyBorder="1" applyFont="1">
      <alignment horizontal="right" vertical="bottom"/>
    </xf>
    <xf borderId="5" fillId="0" fontId="6" numFmtId="164" xfId="0" applyAlignment="1" applyBorder="1" applyFont="1" applyNumberFormat="1">
      <alignment horizontal="center" readingOrder="0"/>
    </xf>
    <xf borderId="11" fillId="0" fontId="12" numFmtId="0" xfId="0" applyAlignment="1" applyBorder="1" applyFont="1">
      <alignment readingOrder="0" vertical="bottom"/>
    </xf>
    <xf borderId="11" fillId="0" fontId="2" numFmtId="164" xfId="0" applyAlignment="1" applyBorder="1" applyFont="1" applyNumberFormat="1">
      <alignment horizontal="center" readingOrder="0"/>
    </xf>
    <xf borderId="0" fillId="0" fontId="2" numFmtId="0" xfId="0" applyFont="1"/>
    <xf borderId="36" fillId="0" fontId="2" numFmtId="0" xfId="0" applyAlignment="1" applyBorder="1" applyFont="1">
      <alignment horizontal="left" readingOrder="0"/>
    </xf>
    <xf borderId="7" fillId="0" fontId="28" numFmtId="0" xfId="0" applyAlignment="1" applyBorder="1" applyFont="1">
      <alignment readingOrder="0" shrinkToFit="0" vertical="center" wrapText="1"/>
    </xf>
    <xf borderId="4" fillId="0" fontId="2" numFmtId="0" xfId="0" applyAlignment="1" applyBorder="1" applyFont="1">
      <alignment horizontal="center" readingOrder="0"/>
    </xf>
    <xf borderId="37" fillId="0" fontId="2" numFmtId="0" xfId="0" applyAlignment="1" applyBorder="1" applyFont="1">
      <alignment horizontal="left" readingOrder="0"/>
    </xf>
    <xf borderId="11" fillId="0" fontId="6" numFmtId="164" xfId="0" applyAlignment="1" applyBorder="1" applyFont="1" applyNumberFormat="1">
      <alignment horizontal="center" readingOrder="0"/>
    </xf>
    <xf borderId="38" fillId="0" fontId="2" numFmtId="0" xfId="0" applyAlignment="1" applyBorder="1" applyFont="1">
      <alignment horizontal="center" readingOrder="0"/>
    </xf>
    <xf borderId="7" fillId="0" fontId="12" numFmtId="0" xfId="0" applyAlignment="1" applyBorder="1" applyFont="1">
      <alignment readingOrder="0" shrinkToFit="0" vertical="center" wrapText="1"/>
    </xf>
    <xf borderId="0" fillId="0" fontId="2" numFmtId="0" xfId="0" applyAlignment="1" applyFont="1">
      <alignment readingOrder="0" shrinkToFit="0" vertical="center" wrapText="1"/>
    </xf>
    <xf borderId="7" fillId="0" fontId="2" numFmtId="0" xfId="0" applyAlignment="1" applyBorder="1" applyFont="1">
      <alignment horizontal="left" readingOrder="0"/>
    </xf>
    <xf borderId="1" fillId="0" fontId="2" numFmtId="165" xfId="0" applyAlignment="1" applyBorder="1" applyFont="1" applyNumberFormat="1">
      <alignment horizontal="center" readingOrder="0"/>
    </xf>
    <xf borderId="5" fillId="0" fontId="2" numFmtId="165" xfId="0" applyAlignment="1" applyBorder="1" applyFont="1" applyNumberFormat="1">
      <alignment horizontal="center" readingOrder="0"/>
    </xf>
    <xf borderId="11" fillId="0" fontId="2" numFmtId="165" xfId="0" applyAlignment="1" applyBorder="1" applyFont="1" applyNumberFormat="1">
      <alignment horizontal="center" readingOrder="0"/>
    </xf>
    <xf borderId="0" fillId="0" fontId="29" numFmtId="0" xfId="0" applyAlignment="1" applyFont="1">
      <alignment readingOrder="0"/>
    </xf>
    <xf borderId="11" fillId="0" fontId="24" numFmtId="0" xfId="0" applyAlignment="1" applyBorder="1" applyFont="1">
      <alignment readingOrder="0"/>
    </xf>
    <xf borderId="33" fillId="0" fontId="2" numFmtId="0" xfId="0" applyAlignment="1" applyBorder="1" applyFont="1">
      <alignment readingOrder="0"/>
    </xf>
    <xf borderId="33" fillId="0" fontId="2" numFmtId="0" xfId="0" applyBorder="1" applyFont="1"/>
    <xf borderId="36" fillId="0" fontId="2" numFmtId="0" xfId="0" applyAlignment="1" applyBorder="1" applyFont="1">
      <alignment readingOrder="0"/>
    </xf>
    <xf borderId="4" fillId="0" fontId="2" numFmtId="0" xfId="0" applyAlignment="1" applyBorder="1" applyFont="1">
      <alignment readingOrder="0"/>
    </xf>
    <xf borderId="37" fillId="0" fontId="2" numFmtId="0" xfId="0" applyAlignment="1" applyBorder="1" applyFont="1">
      <alignment readingOrder="0"/>
    </xf>
    <xf borderId="38" fillId="0" fontId="2" numFmtId="0" xfId="0" applyAlignment="1" applyBorder="1" applyFont="1">
      <alignment readingOrder="0"/>
    </xf>
    <xf borderId="1" fillId="0" fontId="6" numFmtId="1" xfId="0" applyAlignment="1" applyBorder="1" applyFont="1" applyNumberFormat="1">
      <alignment horizontal="center" readingOrder="0"/>
    </xf>
    <xf borderId="5" fillId="0" fontId="2" numFmtId="1" xfId="0" applyAlignment="1" applyBorder="1" applyFont="1" applyNumberFormat="1">
      <alignment horizontal="center" readingOrder="0"/>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1">
    <tableStyle count="3" pivot="0" name="Entrecot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H5" displayName="Table_1" name="Table_1" id="1">
  <tableColumns count="7">
    <tableColumn name="Épaisseur (cm)" id="1"/>
    <tableColumn name="Cuisson" id="2"/>
    <tableColumn name="Temps par face (min)" id="3"/>
    <tableColumn name="Total saisie (min)" id="4"/>
    <tableColumn name="Repos (min)" id="5"/>
    <tableColumn name="Sauçage (min)" id="6"/>
    <tableColumn name="Temps total (min)" id="7"/>
  </tableColumns>
  <tableStyleInfo name="Entreco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bgG479XvQkk" TargetMode="External"/><Relationship Id="rId2" Type="http://schemas.openxmlformats.org/officeDocument/2006/relationships/hyperlink" Target="https://mastercooks.be/fr/le-vol-au-vent-des-armes-de-bruxelles" TargetMode="External"/><Relationship Id="rId3" Type="http://schemas.openxmlformats.org/officeDocument/2006/relationships/hyperlink" Target="https://www.youtube.com/watch?v=SvgKp69Gzu8"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vlourish.com/sauce-noix-de-cajou/" TargetMode="External"/><Relationship Id="rId2" Type="http://schemas.openxmlformats.org/officeDocument/2006/relationships/hyperlink" Target="https://mariefoodtips.com/pommes-de-terre-hasselback/" TargetMode="External"/><Relationship Id="rId3" Type="http://schemas.openxmlformats.org/officeDocument/2006/relationships/hyperlink" Target="https://www.marieclaire.fr/cuisine/des-recettes-de-pitas-pour-voyager-le-temps-d-un-repas,1378517.asp" TargetMode="External"/><Relationship Id="rId4" Type="http://schemas.openxmlformats.org/officeDocument/2006/relationships/hyperlink" Target="https://philippe-etchebest.com/sauce-hollandaise/?utm_source=Youtube&amp;utm_medium=Description&amp;utm_campaign=Sauc" TargetMode="External"/><Relationship Id="rId5" Type="http://schemas.openxmlformats.org/officeDocument/2006/relationships/hyperlink" Target="https://www.youtube.com/watch?v=WcaYANOUSRY" TargetMode="External"/><Relationship Id="rId6" Type="http://schemas.openxmlformats.org/officeDocument/2006/relationships/hyperlink" Target="https://www.youtube.com/watch?v=0zvziyJ8nfQ" TargetMode="External"/><Relationship Id="rId7" Type="http://schemas.openxmlformats.org/officeDocument/2006/relationships/hyperlink" Target="https://cuisine.journaldesfemmes.fr/recette/330008-couscous"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youtube.com/watch?v=VWFlQ1EOxMk" TargetMode="External"/><Relationship Id="rId10" Type="http://schemas.openxmlformats.org/officeDocument/2006/relationships/hyperlink" Target="https://www.youtube.com/shorts/NHiztRy77Ys" TargetMode="External"/><Relationship Id="rId13" Type="http://schemas.openxmlformats.org/officeDocument/2006/relationships/hyperlink" Target="https://www.youtube.com/watch?v=_0CkWADgyso" TargetMode="External"/><Relationship Id="rId12" Type="http://schemas.openxmlformats.org/officeDocument/2006/relationships/hyperlink" Target="https://www.youtube.com/watch?v=_0CkWADgyso" TargetMode="External"/><Relationship Id="rId1" Type="http://schemas.openxmlformats.org/officeDocument/2006/relationships/hyperlink" Target="https://www.youtube.com/watch?v=QvAq2i7mrnU" TargetMode="External"/><Relationship Id="rId2" Type="http://schemas.openxmlformats.org/officeDocument/2006/relationships/hyperlink" Target="https://www.youtube.com/watch?v=nL_x4wCtldI" TargetMode="External"/><Relationship Id="rId3" Type="http://schemas.openxmlformats.org/officeDocument/2006/relationships/hyperlink" Target="https://www.youtube.com/watch?v=DmgPPIDnekI" TargetMode="External"/><Relationship Id="rId4" Type="http://schemas.openxmlformats.org/officeDocument/2006/relationships/hyperlink" Target="https://www.hervecuisine.com/recette/riz-cantonais-la-vrai-recette-de-cuisine-chinoise/" TargetMode="External"/><Relationship Id="rId9" Type="http://schemas.openxmlformats.org/officeDocument/2006/relationships/hyperlink" Target="https://www.youtube.com/watch?v=zzN5bhc5_PQ" TargetMode="External"/><Relationship Id="rId15" Type="http://schemas.openxmlformats.org/officeDocument/2006/relationships/hyperlink" Target="https://www.youtube.com/watch?v=mmoCEkTg_RI" TargetMode="External"/><Relationship Id="rId14" Type="http://schemas.openxmlformats.org/officeDocument/2006/relationships/hyperlink" Target="https://www.youtube.com/shorts/EdYrgxk728Y" TargetMode="External"/><Relationship Id="rId17" Type="http://schemas.openxmlformats.org/officeDocument/2006/relationships/hyperlink" Target="https://www.youtube.com/watch?v=kSAhmnt5UaE" TargetMode="External"/><Relationship Id="rId16" Type="http://schemas.openxmlformats.org/officeDocument/2006/relationships/hyperlink" Target="https://www.youtube.com/watch?v=4D9G-bMno_A" TargetMode="External"/><Relationship Id="rId5" Type="http://schemas.openxmlformats.org/officeDocument/2006/relationships/hyperlink" Target="https://www.petitsplatsentreamis.com/recette-du-riz-cantonais/" TargetMode="External"/><Relationship Id="rId6" Type="http://schemas.openxmlformats.org/officeDocument/2006/relationships/hyperlink" Target="https://www.cuisineactuelle.fr/culture-food/idees-de-menus/idees-de-repas/la-recette-facile-du-riz-cantonais-a-la-sauce-soja-de-cyril-lignac-187234" TargetMode="External"/><Relationship Id="rId18" Type="http://schemas.openxmlformats.org/officeDocument/2006/relationships/drawing" Target="../drawings/drawing3.xml"/><Relationship Id="rId7" Type="http://schemas.openxmlformats.org/officeDocument/2006/relationships/hyperlink" Target="https://www.modesettravaux.fr/cuisine/ideesrecettes/riz-cantonais-de-cyril-lignac-lastuce-secrete-du-chef-pour-faire-exploser-les-saveurs-66156.html" TargetMode="External"/><Relationship Id="rId8" Type="http://schemas.openxmlformats.org/officeDocument/2006/relationships/hyperlink" Target="https://www.youtube.com/watch?v=9FS3dpXsr2Q"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shorts/cj3ZhK4ccfw" TargetMode="External"/><Relationship Id="rId2" Type="http://schemas.openxmlformats.org/officeDocument/2006/relationships/hyperlink" Target="https://www.youtube.com/shorts/kUXXjApmS-E" TargetMode="External"/><Relationship Id="rId3" Type="http://schemas.openxmlformats.org/officeDocument/2006/relationships/hyperlink" Target="https://www.youtube.com/shorts/tEbeQC85Svw" TargetMode="External"/><Relationship Id="rId4" Type="http://schemas.openxmlformats.org/officeDocument/2006/relationships/hyperlink" Target="https://www.youtube.com/shorts/i5qb5gcyw8s" TargetMode="External"/><Relationship Id="rId5" Type="http://schemas.openxmlformats.org/officeDocument/2006/relationships/drawing" Target="../drawings/drawing4.xml"/><Relationship Id="rId7"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cuisine.journaldesfemmes.fr/recette/316406-salade-cesar-rapide" TargetMode="External"/><Relationship Id="rId2" Type="http://schemas.openxmlformats.org/officeDocument/2006/relationships/hyperlink" Target="https://chatgpt.com/c/68a58045-5598-8326-8f07-a8d93b350899"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xT3SrBk2okrn2yii7Qjn8QU-MmJ_rKpm/view?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N7kY8vuCbVI" TargetMode="External"/><Relationship Id="rId2" Type="http://schemas.openxmlformats.org/officeDocument/2006/relationships/hyperlink" Target="https://www.youtube.com/watch?v=TUcbb8bbmgs" TargetMode="External"/><Relationship Id="rId3" Type="http://schemas.openxmlformats.org/officeDocument/2006/relationships/hyperlink" Target="https://www.youtube.com/watch?v=lROX8gJ8SPE" TargetMode="External"/><Relationship Id="rId4" Type="http://schemas.openxmlformats.org/officeDocument/2006/relationships/hyperlink" Target="https://philippe-etchebest.com/la-creme-brulee/?utm_source=Youtube&amp;utm_campaign=100&amp;utm_medium=Description" TargetMode="External"/><Relationship Id="rId5"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9.5"/>
    <col customWidth="1" min="7" max="7" width="56.5"/>
  </cols>
  <sheetData>
    <row r="1">
      <c r="A1" s="1" t="s">
        <v>1</v>
      </c>
      <c r="B1" s="3"/>
      <c r="C1" s="2"/>
      <c r="D1" s="3"/>
      <c r="G1" s="8"/>
    </row>
    <row r="2">
      <c r="A2" s="10"/>
      <c r="B2" s="10"/>
      <c r="C2" s="12"/>
      <c r="D2" s="10"/>
      <c r="G2" s="8"/>
    </row>
    <row r="3">
      <c r="A3" s="4" t="s">
        <v>10</v>
      </c>
      <c r="B3" s="5" t="s">
        <v>4</v>
      </c>
      <c r="C3" s="6" t="s">
        <v>5</v>
      </c>
      <c r="D3" s="5" t="s">
        <v>6</v>
      </c>
      <c r="F3" s="17" t="s">
        <v>14</v>
      </c>
      <c r="G3" s="8"/>
    </row>
    <row r="4">
      <c r="A4" s="7" t="s">
        <v>13</v>
      </c>
      <c r="B4" s="9" t="s">
        <v>15</v>
      </c>
      <c r="C4" s="21">
        <f>150*A5</f>
        <v>1050</v>
      </c>
      <c r="D4" s="29" t="s">
        <v>17</v>
      </c>
      <c r="F4" s="32">
        <v>1.0</v>
      </c>
      <c r="G4" s="35" t="s">
        <v>24</v>
      </c>
    </row>
    <row r="5">
      <c r="A5" s="24">
        <v>7.0</v>
      </c>
      <c r="B5" s="25" t="s">
        <v>28</v>
      </c>
      <c r="C5" s="28">
        <f>75*A5</f>
        <v>525</v>
      </c>
      <c r="D5" s="31" t="s">
        <v>17</v>
      </c>
      <c r="F5" s="48">
        <v>2.0</v>
      </c>
      <c r="G5" s="53" t="s">
        <v>40</v>
      </c>
    </row>
    <row r="6">
      <c r="A6" s="3"/>
      <c r="B6" s="31" t="s">
        <v>43</v>
      </c>
      <c r="C6" s="28">
        <f>0.5*A5</f>
        <v>3.5</v>
      </c>
      <c r="D6" s="31" t="s">
        <v>19</v>
      </c>
      <c r="F6" s="48">
        <v>3.0</v>
      </c>
      <c r="G6" s="53" t="s">
        <v>47</v>
      </c>
    </row>
    <row r="7">
      <c r="A7" s="3"/>
      <c r="B7" s="31" t="s">
        <v>48</v>
      </c>
      <c r="C7" s="28">
        <f>6.3*A5</f>
        <v>44.1</v>
      </c>
      <c r="D7" s="61" t="s">
        <v>54</v>
      </c>
      <c r="F7" s="48">
        <v>4.0</v>
      </c>
      <c r="G7" s="64" t="s">
        <v>58</v>
      </c>
    </row>
    <row r="8">
      <c r="A8" s="3"/>
      <c r="B8" s="31" t="s">
        <v>18</v>
      </c>
      <c r="C8" s="28">
        <f>0.5*A5</f>
        <v>3.5</v>
      </c>
      <c r="D8" s="31" t="s">
        <v>19</v>
      </c>
      <c r="F8" s="48">
        <v>5.0</v>
      </c>
      <c r="G8" s="53" t="s">
        <v>63</v>
      </c>
    </row>
    <row r="9">
      <c r="A9" s="3"/>
      <c r="B9" s="31" t="s">
        <v>64</v>
      </c>
      <c r="C9" s="28">
        <f>20*A5</f>
        <v>140</v>
      </c>
      <c r="D9" s="61" t="s">
        <v>17</v>
      </c>
      <c r="F9" s="69">
        <v>6.0</v>
      </c>
      <c r="G9" s="70" t="s">
        <v>70</v>
      </c>
    </row>
    <row r="10">
      <c r="B10" s="61" t="s">
        <v>60</v>
      </c>
      <c r="C10" s="40">
        <f>0.5*A5</f>
        <v>3.5</v>
      </c>
      <c r="D10" s="31" t="s">
        <v>19</v>
      </c>
      <c r="G10" s="8"/>
    </row>
    <row r="11">
      <c r="A11" s="3"/>
      <c r="B11" s="31" t="s">
        <v>75</v>
      </c>
      <c r="C11" s="40">
        <f>0.5*A5</f>
        <v>3.5</v>
      </c>
      <c r="D11" s="31" t="s">
        <v>19</v>
      </c>
      <c r="G11" s="8"/>
    </row>
    <row r="12">
      <c r="A12" s="3"/>
      <c r="B12" s="31" t="s">
        <v>79</v>
      </c>
      <c r="C12" s="40">
        <f>0.2*A5</f>
        <v>1.4</v>
      </c>
      <c r="D12" s="31" t="s">
        <v>80</v>
      </c>
      <c r="G12" s="8"/>
    </row>
    <row r="13">
      <c r="A13" s="3"/>
      <c r="B13" s="31" t="s">
        <v>81</v>
      </c>
      <c r="C13" s="28">
        <f>0.5*A5</f>
        <v>3.5</v>
      </c>
      <c r="D13" s="31" t="s">
        <v>80</v>
      </c>
      <c r="G13" s="8"/>
    </row>
    <row r="14">
      <c r="A14" s="3"/>
      <c r="B14" s="31" t="s">
        <v>85</v>
      </c>
      <c r="C14" s="28">
        <f>0.3*A5</f>
        <v>2.1</v>
      </c>
      <c r="D14" s="61" t="s">
        <v>89</v>
      </c>
      <c r="G14" s="8"/>
    </row>
    <row r="15">
      <c r="A15" s="3"/>
      <c r="B15" s="61" t="s">
        <v>91</v>
      </c>
      <c r="C15" s="82"/>
      <c r="D15" s="84"/>
      <c r="G15" s="8"/>
    </row>
    <row r="16">
      <c r="A16" s="3"/>
      <c r="B16" s="61" t="s">
        <v>96</v>
      </c>
      <c r="C16" s="82"/>
      <c r="D16" s="84"/>
      <c r="G16" s="8"/>
    </row>
    <row r="17">
      <c r="A17" s="3"/>
      <c r="B17" s="61" t="s">
        <v>68</v>
      </c>
      <c r="C17" s="82"/>
      <c r="D17" s="84"/>
      <c r="G17" s="8"/>
    </row>
    <row r="18">
      <c r="A18" s="3"/>
      <c r="B18" s="42" t="s">
        <v>69</v>
      </c>
      <c r="C18" s="89"/>
      <c r="D18" s="92"/>
      <c r="G18" s="8"/>
    </row>
    <row r="19">
      <c r="B19" s="3"/>
      <c r="C19" s="2"/>
      <c r="D19" s="3"/>
      <c r="G19" s="8"/>
    </row>
    <row r="20">
      <c r="A20" s="3"/>
      <c r="B20" s="3"/>
      <c r="C20" s="2"/>
      <c r="D20" s="3"/>
      <c r="G20" s="8"/>
    </row>
    <row r="21">
      <c r="D21" s="3"/>
      <c r="G21" s="8"/>
    </row>
    <row r="22">
      <c r="A22" s="4" t="s">
        <v>103</v>
      </c>
      <c r="B22" s="5" t="s">
        <v>4</v>
      </c>
      <c r="C22" s="6" t="s">
        <v>5</v>
      </c>
      <c r="D22" s="5" t="s">
        <v>6</v>
      </c>
      <c r="F22" s="17" t="s">
        <v>14</v>
      </c>
      <c r="G22" s="8"/>
    </row>
    <row r="23">
      <c r="A23" s="7" t="s">
        <v>13</v>
      </c>
      <c r="B23" s="9" t="s">
        <v>106</v>
      </c>
      <c r="C23" s="21">
        <f>100*A24</f>
        <v>1000</v>
      </c>
      <c r="D23" s="29" t="s">
        <v>17</v>
      </c>
      <c r="F23" s="32">
        <v>1.0</v>
      </c>
      <c r="G23" s="35" t="s">
        <v>108</v>
      </c>
    </row>
    <row r="24">
      <c r="A24" s="24">
        <v>10.0</v>
      </c>
      <c r="B24" s="61" t="s">
        <v>60</v>
      </c>
      <c r="C24" s="40">
        <f>0.2*A24</f>
        <v>2</v>
      </c>
      <c r="D24" s="31" t="s">
        <v>19</v>
      </c>
      <c r="F24" s="48">
        <v>2.0</v>
      </c>
      <c r="G24" s="53" t="s">
        <v>111</v>
      </c>
    </row>
    <row r="25">
      <c r="A25" s="3"/>
      <c r="B25" s="31" t="s">
        <v>75</v>
      </c>
      <c r="C25" s="40">
        <f>0.1*A24</f>
        <v>1</v>
      </c>
      <c r="D25" s="31" t="s">
        <v>19</v>
      </c>
      <c r="F25" s="48">
        <v>3.0</v>
      </c>
      <c r="G25" s="53" t="s">
        <v>114</v>
      </c>
    </row>
    <row r="26">
      <c r="A26" s="3"/>
      <c r="B26" s="31" t="s">
        <v>43</v>
      </c>
      <c r="C26" s="28">
        <f>0.1*A24</f>
        <v>1</v>
      </c>
      <c r="D26" s="31" t="s">
        <v>55</v>
      </c>
      <c r="F26" s="48">
        <v>4.0</v>
      </c>
      <c r="G26" s="64" t="s">
        <v>117</v>
      </c>
    </row>
    <row r="27">
      <c r="A27" s="3"/>
      <c r="B27" s="31" t="s">
        <v>118</v>
      </c>
      <c r="C27" s="28">
        <f>0.1*A24</f>
        <v>1</v>
      </c>
      <c r="D27" s="31" t="s">
        <v>119</v>
      </c>
      <c r="F27" s="69">
        <v>5.0</v>
      </c>
      <c r="G27" s="99" t="s">
        <v>120</v>
      </c>
    </row>
    <row r="28">
      <c r="A28" s="3"/>
      <c r="B28" s="31" t="s">
        <v>8</v>
      </c>
      <c r="C28" s="28">
        <f>62.5*A24</f>
        <v>625</v>
      </c>
      <c r="D28" s="31" t="s">
        <v>17</v>
      </c>
      <c r="G28" s="8"/>
    </row>
    <row r="29">
      <c r="A29" s="3"/>
      <c r="B29" s="31" t="s">
        <v>125</v>
      </c>
      <c r="C29" s="28">
        <f>15*A24</f>
        <v>150</v>
      </c>
      <c r="D29" s="61" t="s">
        <v>17</v>
      </c>
      <c r="F29" s="12"/>
      <c r="G29" s="104"/>
    </row>
    <row r="30">
      <c r="A30" s="3"/>
      <c r="B30" s="31" t="s">
        <v>79</v>
      </c>
      <c r="C30" s="40">
        <f>0.1*A24</f>
        <v>1</v>
      </c>
      <c r="D30" s="31" t="s">
        <v>80</v>
      </c>
      <c r="G30" s="8"/>
    </row>
    <row r="31">
      <c r="A31" s="3"/>
      <c r="B31" s="31" t="s">
        <v>131</v>
      </c>
      <c r="C31" s="28">
        <f>0.1*A24</f>
        <v>1</v>
      </c>
      <c r="D31" s="31" t="s">
        <v>80</v>
      </c>
      <c r="G31" s="8"/>
    </row>
    <row r="32">
      <c r="A32" s="3"/>
      <c r="B32" s="31" t="s">
        <v>45</v>
      </c>
      <c r="C32" s="28"/>
      <c r="D32" s="31"/>
      <c r="G32" s="8"/>
    </row>
    <row r="33">
      <c r="A33" s="3"/>
      <c r="B33" s="61" t="s">
        <v>136</v>
      </c>
      <c r="C33" s="82"/>
      <c r="D33" s="84"/>
      <c r="G33" s="8"/>
    </row>
    <row r="34">
      <c r="A34" s="3"/>
      <c r="B34" s="61" t="s">
        <v>96</v>
      </c>
      <c r="C34" s="82"/>
      <c r="D34" s="84"/>
      <c r="G34" s="8"/>
    </row>
    <row r="35">
      <c r="A35" s="3"/>
      <c r="B35" s="61" t="s">
        <v>68</v>
      </c>
      <c r="C35" s="82"/>
      <c r="D35" s="84"/>
      <c r="G35" s="8"/>
    </row>
    <row r="36">
      <c r="A36" s="3"/>
      <c r="B36" s="42" t="s">
        <v>69</v>
      </c>
      <c r="C36" s="89"/>
      <c r="D36" s="92"/>
      <c r="G36" s="8"/>
    </row>
    <row r="37">
      <c r="B37" s="3"/>
      <c r="C37" s="2"/>
      <c r="D37" s="3"/>
      <c r="G37" s="8"/>
    </row>
    <row r="38">
      <c r="A38" s="3"/>
      <c r="B38" s="3"/>
      <c r="C38" s="2"/>
      <c r="D38" s="3"/>
      <c r="G38" s="8"/>
    </row>
    <row r="39">
      <c r="A39" s="3"/>
      <c r="B39" s="3"/>
      <c r="C39" s="2"/>
      <c r="D39" s="3"/>
      <c r="F39" s="10"/>
      <c r="G39" s="8"/>
    </row>
    <row r="40">
      <c r="A40" s="4" t="s">
        <v>142</v>
      </c>
      <c r="B40" s="125" t="s">
        <v>146</v>
      </c>
      <c r="C40" s="127" t="s">
        <v>154</v>
      </c>
      <c r="F40" s="97" t="s">
        <v>164</v>
      </c>
      <c r="G40" s="34"/>
      <c r="H40" s="34"/>
      <c r="I40" s="36"/>
    </row>
    <row r="41">
      <c r="A41" s="7" t="s">
        <v>13</v>
      </c>
      <c r="F41" s="45"/>
      <c r="I41" s="47"/>
    </row>
    <row r="42">
      <c r="A42" s="24">
        <v>4.0</v>
      </c>
      <c r="B42" s="14" t="s">
        <v>51</v>
      </c>
      <c r="F42" s="45"/>
      <c r="I42" s="47"/>
    </row>
    <row r="43">
      <c r="A43" s="3"/>
      <c r="B43" s="5" t="s">
        <v>4</v>
      </c>
      <c r="C43" s="6" t="s">
        <v>5</v>
      </c>
      <c r="D43" s="5" t="s">
        <v>6</v>
      </c>
      <c r="F43" s="45"/>
      <c r="I43" s="47"/>
    </row>
    <row r="44">
      <c r="A44" s="130"/>
      <c r="B44" s="9" t="s">
        <v>53</v>
      </c>
      <c r="C44" s="21">
        <f>300*A42</f>
        <v>1200</v>
      </c>
      <c r="D44" s="29" t="s">
        <v>55</v>
      </c>
      <c r="E44" s="131"/>
      <c r="F44" s="45"/>
      <c r="I44" s="47"/>
    </row>
    <row r="45">
      <c r="A45" s="3"/>
      <c r="B45" s="61" t="s">
        <v>60</v>
      </c>
      <c r="C45" s="40">
        <f>0.5*A42</f>
        <v>2</v>
      </c>
      <c r="D45" s="31" t="s">
        <v>19</v>
      </c>
      <c r="F45" s="45"/>
      <c r="I45" s="47"/>
    </row>
    <row r="46">
      <c r="A46" s="3"/>
      <c r="B46" s="31" t="s">
        <v>62</v>
      </c>
      <c r="C46" s="40">
        <f>0.25*A42</f>
        <v>1</v>
      </c>
      <c r="D46" s="31" t="s">
        <v>19</v>
      </c>
      <c r="F46" s="45"/>
      <c r="I46" s="47"/>
    </row>
    <row r="47">
      <c r="A47" s="3"/>
      <c r="B47" s="31" t="s">
        <v>26</v>
      </c>
      <c r="C47" s="28">
        <f>0.5*A42</f>
        <v>2</v>
      </c>
      <c r="D47" s="31" t="s">
        <v>19</v>
      </c>
      <c r="F47" s="45"/>
      <c r="I47" s="47"/>
    </row>
    <row r="48">
      <c r="A48" s="3"/>
      <c r="B48" s="31" t="s">
        <v>72</v>
      </c>
      <c r="C48" s="28">
        <f>0.25*A42</f>
        <v>1</v>
      </c>
      <c r="D48" s="31" t="s">
        <v>19</v>
      </c>
      <c r="F48" s="45"/>
      <c r="I48" s="47"/>
    </row>
    <row r="49">
      <c r="A49" s="3"/>
      <c r="B49" s="42" t="s">
        <v>74</v>
      </c>
      <c r="C49" s="46"/>
      <c r="D49" s="42"/>
      <c r="F49" s="45"/>
      <c r="I49" s="47"/>
    </row>
    <row r="50">
      <c r="A50" s="3"/>
      <c r="B50" s="14"/>
      <c r="C50" s="12"/>
      <c r="D50" s="51"/>
      <c r="F50" s="45"/>
      <c r="I50" s="47"/>
    </row>
    <row r="51">
      <c r="A51" s="3"/>
      <c r="B51" s="14" t="s">
        <v>177</v>
      </c>
      <c r="C51" s="12"/>
      <c r="D51" s="51"/>
      <c r="F51" s="45"/>
      <c r="I51" s="47"/>
    </row>
    <row r="52">
      <c r="A52" s="3"/>
      <c r="B52" s="29" t="s">
        <v>8</v>
      </c>
      <c r="C52" s="21">
        <f>0.25*A42</f>
        <v>1</v>
      </c>
      <c r="D52" s="29" t="s">
        <v>55</v>
      </c>
      <c r="F52" s="54"/>
      <c r="G52" s="55"/>
      <c r="H52" s="55"/>
      <c r="I52" s="56"/>
    </row>
    <row r="53">
      <c r="A53" s="3"/>
      <c r="B53" s="31" t="s">
        <v>180</v>
      </c>
      <c r="C53" s="28">
        <f>0.25*A42</f>
        <v>1</v>
      </c>
      <c r="D53" s="31" t="s">
        <v>183</v>
      </c>
    </row>
    <row r="54">
      <c r="A54" s="3"/>
      <c r="B54" s="42" t="s">
        <v>69</v>
      </c>
      <c r="C54" s="46"/>
      <c r="D54" s="42"/>
      <c r="F54" s="97" t="s">
        <v>186</v>
      </c>
      <c r="G54" s="34"/>
      <c r="H54" s="34"/>
      <c r="I54" s="36"/>
    </row>
    <row r="55">
      <c r="A55" s="3"/>
      <c r="B55" s="51"/>
      <c r="C55" s="2"/>
      <c r="D55" s="3"/>
      <c r="F55" s="45"/>
      <c r="I55" s="47"/>
    </row>
    <row r="56">
      <c r="A56" s="3"/>
      <c r="B56" s="14" t="s">
        <v>189</v>
      </c>
      <c r="C56" s="12"/>
      <c r="D56" s="51"/>
      <c r="F56" s="45"/>
      <c r="I56" s="47"/>
    </row>
    <row r="57">
      <c r="A57" s="3"/>
      <c r="B57" s="29" t="s">
        <v>192</v>
      </c>
      <c r="C57" s="21">
        <f>0.25*A42</f>
        <v>1</v>
      </c>
      <c r="D57" s="29" t="s">
        <v>55</v>
      </c>
      <c r="F57" s="45"/>
      <c r="I57" s="47"/>
    </row>
    <row r="58">
      <c r="A58" s="3"/>
      <c r="B58" s="31" t="s">
        <v>196</v>
      </c>
      <c r="C58" s="28">
        <f>1*A42</f>
        <v>4</v>
      </c>
      <c r="D58" s="31" t="s">
        <v>19</v>
      </c>
      <c r="F58" s="45"/>
      <c r="I58" s="47"/>
    </row>
    <row r="59">
      <c r="A59" s="3"/>
      <c r="B59" s="65" t="s">
        <v>200</v>
      </c>
      <c r="C59" s="66"/>
      <c r="D59" s="65"/>
      <c r="F59" s="45"/>
      <c r="I59" s="47"/>
    </row>
    <row r="60">
      <c r="A60" s="3"/>
      <c r="B60" s="42" t="s">
        <v>201</v>
      </c>
      <c r="C60" s="46"/>
      <c r="D60" s="42"/>
      <c r="F60" s="45"/>
      <c r="I60" s="47"/>
    </row>
    <row r="61">
      <c r="A61" s="3"/>
      <c r="F61" s="45"/>
      <c r="I61" s="47"/>
    </row>
    <row r="62">
      <c r="A62" s="3"/>
      <c r="B62" s="14" t="s">
        <v>204</v>
      </c>
      <c r="C62" s="2"/>
      <c r="D62" s="3"/>
      <c r="F62" s="45"/>
      <c r="I62" s="47"/>
    </row>
    <row r="63">
      <c r="A63" s="3"/>
      <c r="B63" s="9" t="s">
        <v>84</v>
      </c>
      <c r="C63" s="126">
        <f>0.025*A42</f>
        <v>0.1</v>
      </c>
      <c r="D63" s="29" t="s">
        <v>55</v>
      </c>
      <c r="F63" s="45"/>
      <c r="I63" s="47"/>
    </row>
    <row r="64">
      <c r="B64" s="61" t="s">
        <v>207</v>
      </c>
      <c r="C64" s="82">
        <f>0.0375*A42</f>
        <v>0.15</v>
      </c>
      <c r="D64" s="31" t="s">
        <v>55</v>
      </c>
      <c r="F64" s="45"/>
      <c r="I64" s="47"/>
    </row>
    <row r="65">
      <c r="B65" s="134" t="s">
        <v>211</v>
      </c>
      <c r="C65" s="135">
        <f>0.05*A42</f>
        <v>0.2</v>
      </c>
      <c r="D65" s="65" t="s">
        <v>213</v>
      </c>
      <c r="F65" s="45"/>
      <c r="I65" s="47"/>
    </row>
    <row r="66">
      <c r="B66" s="42" t="s">
        <v>215</v>
      </c>
      <c r="C66" s="89"/>
      <c r="D66" s="42"/>
      <c r="F66" s="54"/>
      <c r="G66" s="55"/>
      <c r="H66" s="55"/>
      <c r="I66" s="56"/>
    </row>
    <row r="69">
      <c r="F69" s="97" t="s">
        <v>218</v>
      </c>
      <c r="G69" s="34"/>
      <c r="H69" s="34"/>
      <c r="I69" s="36"/>
    </row>
    <row r="70">
      <c r="F70" s="45"/>
      <c r="I70" s="47"/>
    </row>
    <row r="71">
      <c r="F71" s="45"/>
      <c r="I71" s="47"/>
    </row>
    <row r="72">
      <c r="F72" s="45"/>
      <c r="I72" s="47"/>
    </row>
    <row r="73">
      <c r="F73" s="54"/>
      <c r="G73" s="55"/>
      <c r="H73" s="55"/>
      <c r="I73" s="56"/>
    </row>
    <row r="74">
      <c r="G74" s="8"/>
    </row>
    <row r="75">
      <c r="F75" s="97" t="s">
        <v>224</v>
      </c>
      <c r="G75" s="34"/>
      <c r="H75" s="34"/>
      <c r="I75" s="36"/>
    </row>
    <row r="76">
      <c r="A76" s="3"/>
      <c r="B76" s="3"/>
      <c r="C76" s="2"/>
      <c r="D76" s="3"/>
      <c r="F76" s="45"/>
      <c r="I76" s="47"/>
    </row>
    <row r="77">
      <c r="A77" s="3"/>
      <c r="B77" s="3"/>
      <c r="C77" s="2"/>
      <c r="D77" s="3"/>
      <c r="F77" s="45"/>
      <c r="I77" s="47"/>
    </row>
    <row r="78">
      <c r="A78" s="3"/>
      <c r="B78" s="3"/>
      <c r="C78" s="2"/>
      <c r="D78" s="3"/>
      <c r="F78" s="45"/>
      <c r="I78" s="47"/>
    </row>
    <row r="79">
      <c r="A79" s="3"/>
      <c r="B79" s="3"/>
      <c r="C79" s="2"/>
      <c r="D79" s="3"/>
      <c r="F79" s="54"/>
      <c r="G79" s="55"/>
      <c r="H79" s="55"/>
      <c r="I79" s="56"/>
    </row>
    <row r="80">
      <c r="A80" s="3"/>
      <c r="B80" s="3"/>
      <c r="C80" s="2"/>
      <c r="D80" s="3"/>
    </row>
    <row r="81">
      <c r="A81" s="3"/>
      <c r="B81" s="3"/>
      <c r="C81" s="2"/>
      <c r="D81" s="3"/>
      <c r="F81" s="97" t="s">
        <v>231</v>
      </c>
      <c r="G81" s="34"/>
      <c r="H81" s="34"/>
      <c r="I81" s="36"/>
    </row>
    <row r="82">
      <c r="A82" s="3"/>
      <c r="B82" s="3"/>
      <c r="C82" s="2"/>
      <c r="D82" s="3"/>
      <c r="F82" s="45"/>
      <c r="I82" s="47"/>
    </row>
    <row r="83">
      <c r="A83" s="3"/>
      <c r="B83" s="3"/>
      <c r="C83" s="2"/>
      <c r="D83" s="3"/>
      <c r="F83" s="45"/>
      <c r="I83" s="47"/>
    </row>
    <row r="84">
      <c r="A84" s="3"/>
      <c r="B84" s="3"/>
      <c r="C84" s="2"/>
      <c r="D84" s="3"/>
      <c r="F84" s="45"/>
      <c r="I84" s="47"/>
    </row>
    <row r="85">
      <c r="A85" s="3"/>
      <c r="B85" s="3"/>
      <c r="C85" s="2"/>
      <c r="D85" s="3"/>
      <c r="F85" s="45"/>
      <c r="I85" s="47"/>
    </row>
    <row r="86">
      <c r="A86" s="3"/>
      <c r="B86" s="3"/>
      <c r="C86" s="2"/>
      <c r="D86" s="3"/>
      <c r="F86" s="54"/>
      <c r="G86" s="55"/>
      <c r="H86" s="55"/>
      <c r="I86" s="56"/>
    </row>
    <row r="87">
      <c r="A87" s="3"/>
      <c r="B87" s="3"/>
      <c r="C87" s="2"/>
      <c r="D87" s="3"/>
    </row>
    <row r="88">
      <c r="A88" s="3"/>
      <c r="B88" s="3"/>
      <c r="C88" s="2"/>
      <c r="D88" s="3"/>
      <c r="G88" s="8"/>
    </row>
    <row r="89">
      <c r="A89" s="4" t="s">
        <v>238</v>
      </c>
      <c r="B89" s="3"/>
      <c r="C89" s="2"/>
      <c r="D89" s="3"/>
      <c r="G89" s="8"/>
    </row>
    <row r="90">
      <c r="A90" s="3"/>
      <c r="B90" s="3"/>
      <c r="C90" s="2"/>
      <c r="D90" s="3"/>
      <c r="G90" s="8"/>
    </row>
    <row r="91">
      <c r="A91" s="3"/>
      <c r="B91" s="3"/>
      <c r="C91" s="2"/>
      <c r="D91" s="3"/>
      <c r="G91" s="8"/>
    </row>
    <row r="92">
      <c r="A92" s="3"/>
      <c r="B92" s="3"/>
      <c r="C92" s="2"/>
      <c r="D92" s="3"/>
      <c r="G92" s="8"/>
    </row>
    <row r="93">
      <c r="B93" s="3"/>
      <c r="C93" s="2"/>
      <c r="D93" s="3"/>
      <c r="G93" s="8"/>
    </row>
    <row r="94">
      <c r="A94" s="3"/>
      <c r="B94" s="3"/>
      <c r="C94" s="2"/>
      <c r="D94" s="3"/>
      <c r="G94" s="8"/>
    </row>
    <row r="95">
      <c r="A95" s="3"/>
      <c r="B95" s="3"/>
      <c r="C95" s="2"/>
      <c r="D95" s="3"/>
      <c r="G95" s="8"/>
    </row>
    <row r="96">
      <c r="A96" s="3"/>
      <c r="B96" s="3"/>
      <c r="C96" s="2"/>
      <c r="D96" s="3"/>
      <c r="G96" s="8"/>
    </row>
    <row r="97">
      <c r="A97" s="11" t="s">
        <v>243</v>
      </c>
      <c r="B97" s="14" t="s">
        <v>249</v>
      </c>
      <c r="C97" s="52"/>
      <c r="D97" s="12"/>
      <c r="G97" s="8"/>
    </row>
    <row r="98">
      <c r="A98" s="4" t="s">
        <v>251</v>
      </c>
      <c r="B98" s="5" t="s">
        <v>4</v>
      </c>
      <c r="C98" s="6" t="s">
        <v>5</v>
      </c>
      <c r="D98" s="6" t="s">
        <v>6</v>
      </c>
      <c r="G98" s="97" t="s">
        <v>253</v>
      </c>
      <c r="H98" s="34"/>
      <c r="I98" s="34"/>
      <c r="J98" s="34"/>
      <c r="K98" s="36"/>
    </row>
    <row r="99">
      <c r="A99" s="7" t="s">
        <v>7</v>
      </c>
      <c r="B99" s="9" t="s">
        <v>254</v>
      </c>
      <c r="C99" s="147">
        <f>45*A100</f>
        <v>2060055</v>
      </c>
      <c r="D99" s="22" t="s">
        <v>236</v>
      </c>
      <c r="G99" s="45"/>
      <c r="K99" s="47"/>
    </row>
    <row r="100">
      <c r="A100" s="149">
        <v>45779.0</v>
      </c>
      <c r="B100" s="31" t="s">
        <v>262</v>
      </c>
      <c r="C100" s="150">
        <f>45*A100</f>
        <v>2060055</v>
      </c>
      <c r="D100" s="28" t="s">
        <v>236</v>
      </c>
      <c r="G100" s="45"/>
      <c r="K100" s="47"/>
    </row>
    <row r="101">
      <c r="B101" s="31" t="s">
        <v>266</v>
      </c>
      <c r="C101" s="153">
        <f>45*A100</f>
        <v>2060055</v>
      </c>
      <c r="D101" s="28" t="s">
        <v>236</v>
      </c>
      <c r="G101" s="45"/>
      <c r="K101" s="47"/>
    </row>
    <row r="102">
      <c r="B102" s="42" t="s">
        <v>268</v>
      </c>
      <c r="C102" s="155">
        <f>45*A100</f>
        <v>2060055</v>
      </c>
      <c r="D102" s="46" t="s">
        <v>236</v>
      </c>
      <c r="G102" s="45"/>
      <c r="K102" s="47"/>
    </row>
    <row r="103">
      <c r="B103" s="10"/>
      <c r="C103" s="12"/>
      <c r="D103" s="12"/>
      <c r="G103" s="45"/>
      <c r="K103" s="47"/>
    </row>
    <row r="104">
      <c r="B104" s="14" t="s">
        <v>272</v>
      </c>
      <c r="C104" s="52"/>
      <c r="D104" s="12"/>
      <c r="G104" s="45"/>
      <c r="K104" s="47"/>
    </row>
    <row r="105">
      <c r="A105" s="3"/>
      <c r="B105" s="5" t="s">
        <v>4</v>
      </c>
      <c r="C105" s="6" t="s">
        <v>5</v>
      </c>
      <c r="D105" s="6" t="s">
        <v>6</v>
      </c>
      <c r="G105" s="45"/>
      <c r="K105" s="47"/>
    </row>
    <row r="106">
      <c r="A106" s="3"/>
      <c r="B106" s="9" t="s">
        <v>273</v>
      </c>
      <c r="C106" s="147">
        <f>85*A100</f>
        <v>3891215</v>
      </c>
      <c r="D106" s="22" t="s">
        <v>46</v>
      </c>
      <c r="G106" s="45"/>
      <c r="K106" s="47"/>
    </row>
    <row r="107">
      <c r="A107" s="3"/>
      <c r="B107" s="31" t="s">
        <v>275</v>
      </c>
      <c r="C107" s="150">
        <f>5*A100</f>
        <v>228895</v>
      </c>
      <c r="D107" s="28" t="s">
        <v>236</v>
      </c>
      <c r="G107" s="45"/>
      <c r="K107" s="47"/>
    </row>
    <row r="108">
      <c r="A108" s="3"/>
      <c r="B108" s="31" t="s">
        <v>75</v>
      </c>
      <c r="C108" s="153">
        <f>0.5*A100</f>
        <v>22889.5</v>
      </c>
      <c r="D108" s="28" t="s">
        <v>97</v>
      </c>
      <c r="G108" s="45"/>
      <c r="K108" s="47"/>
    </row>
    <row r="109">
      <c r="A109" s="3"/>
      <c r="B109" s="31" t="s">
        <v>284</v>
      </c>
      <c r="C109" s="150">
        <f>45*A100</f>
        <v>2060055</v>
      </c>
      <c r="D109" s="28" t="s">
        <v>236</v>
      </c>
      <c r="G109" s="45"/>
      <c r="K109" s="47"/>
    </row>
    <row r="110">
      <c r="A110" s="3"/>
      <c r="B110" s="157" t="s">
        <v>288</v>
      </c>
      <c r="C110" s="153">
        <f>5*A100</f>
        <v>228895</v>
      </c>
      <c r="D110" s="159" t="s">
        <v>46</v>
      </c>
      <c r="G110" s="45"/>
      <c r="K110" s="47"/>
    </row>
    <row r="111">
      <c r="A111" s="3"/>
      <c r="B111" s="160" t="s">
        <v>292</v>
      </c>
      <c r="C111" s="161">
        <f>120*A100</f>
        <v>5493480</v>
      </c>
      <c r="D111" s="162" t="s">
        <v>236</v>
      </c>
      <c r="G111" s="45"/>
      <c r="K111" s="47"/>
    </row>
    <row r="112">
      <c r="A112" s="3"/>
      <c r="B112" s="3"/>
      <c r="C112" s="2"/>
      <c r="D112" s="3"/>
      <c r="G112" s="54"/>
      <c r="H112" s="55"/>
      <c r="I112" s="55"/>
      <c r="J112" s="55"/>
      <c r="K112" s="56"/>
    </row>
    <row r="113">
      <c r="A113" s="3"/>
      <c r="B113" s="3"/>
      <c r="C113" s="2"/>
      <c r="D113" s="3"/>
      <c r="G113" s="164"/>
      <c r="H113" s="164"/>
      <c r="I113" s="164"/>
      <c r="J113" s="164"/>
      <c r="K113" s="164"/>
    </row>
    <row r="114">
      <c r="A114" s="3"/>
      <c r="B114" s="3"/>
      <c r="C114" s="2"/>
      <c r="D114" s="3"/>
      <c r="G114" s="164"/>
      <c r="H114" s="164"/>
      <c r="I114" s="164"/>
      <c r="J114" s="164"/>
      <c r="K114" s="164"/>
    </row>
    <row r="115">
      <c r="A115" s="3"/>
      <c r="B115" s="165" t="s">
        <v>296</v>
      </c>
      <c r="C115" s="34"/>
      <c r="D115" s="34"/>
      <c r="E115" s="36"/>
      <c r="G115" s="97" t="s">
        <v>297</v>
      </c>
      <c r="H115" s="34"/>
      <c r="I115" s="36"/>
      <c r="J115" s="164"/>
    </row>
    <row r="116">
      <c r="A116" s="3"/>
      <c r="B116" s="45"/>
      <c r="E116" s="47"/>
      <c r="G116" s="45"/>
      <c r="I116" s="47"/>
      <c r="J116" s="164"/>
    </row>
    <row r="117">
      <c r="A117" s="3"/>
      <c r="B117" s="45"/>
      <c r="E117" s="47"/>
      <c r="G117" s="45"/>
      <c r="I117" s="47"/>
    </row>
    <row r="118">
      <c r="A118" s="3"/>
      <c r="B118" s="45"/>
      <c r="E118" s="47"/>
      <c r="G118" s="45"/>
      <c r="I118" s="47"/>
    </row>
    <row r="119">
      <c r="A119" s="3"/>
      <c r="B119" s="54"/>
      <c r="C119" s="55"/>
      <c r="D119" s="55"/>
      <c r="E119" s="56"/>
      <c r="G119" s="54"/>
      <c r="H119" s="55"/>
      <c r="I119" s="56"/>
    </row>
    <row r="120">
      <c r="A120" s="3"/>
      <c r="B120" s="3"/>
      <c r="C120" s="2"/>
      <c r="D120" s="3"/>
      <c r="G120" s="8"/>
    </row>
    <row r="121">
      <c r="A121" s="3"/>
      <c r="B121" s="3"/>
      <c r="C121" s="2"/>
      <c r="D121" s="3"/>
      <c r="G121" s="8"/>
    </row>
    <row r="122">
      <c r="A122" s="3"/>
      <c r="B122" s="33" t="s">
        <v>304</v>
      </c>
      <c r="C122" s="34"/>
      <c r="D122" s="34"/>
      <c r="E122" s="36"/>
      <c r="G122" s="97" t="s">
        <v>310</v>
      </c>
      <c r="H122" s="34"/>
      <c r="I122" s="34"/>
      <c r="J122" s="34"/>
      <c r="K122" s="36"/>
    </row>
    <row r="123">
      <c r="A123" s="3"/>
      <c r="B123" s="45"/>
      <c r="E123" s="47"/>
      <c r="G123" s="45"/>
      <c r="K123" s="47"/>
    </row>
    <row r="124">
      <c r="A124" s="3"/>
      <c r="B124" s="45"/>
      <c r="E124" s="47"/>
      <c r="G124" s="45"/>
      <c r="K124" s="47"/>
    </row>
    <row r="125">
      <c r="A125" s="3"/>
      <c r="B125" s="45"/>
      <c r="E125" s="47"/>
      <c r="G125" s="45"/>
      <c r="K125" s="47"/>
    </row>
    <row r="126">
      <c r="A126" s="3"/>
      <c r="B126" s="45"/>
      <c r="E126" s="47"/>
      <c r="G126" s="45"/>
      <c r="K126" s="47"/>
    </row>
    <row r="127">
      <c r="A127" s="3"/>
      <c r="B127" s="45"/>
      <c r="E127" s="47"/>
      <c r="G127" s="45"/>
      <c r="K127" s="47"/>
    </row>
    <row r="128">
      <c r="A128" s="3"/>
      <c r="B128" s="45"/>
      <c r="E128" s="47"/>
      <c r="G128" s="45"/>
      <c r="K128" s="47"/>
    </row>
    <row r="129">
      <c r="A129" s="3"/>
      <c r="B129" s="45"/>
      <c r="E129" s="47"/>
      <c r="G129" s="45"/>
      <c r="K129" s="47"/>
    </row>
    <row r="130">
      <c r="A130" s="3"/>
      <c r="B130" s="45"/>
      <c r="E130" s="47"/>
      <c r="G130" s="54"/>
      <c r="H130" s="55"/>
      <c r="I130" s="55"/>
      <c r="J130" s="55"/>
      <c r="K130" s="56"/>
    </row>
    <row r="131">
      <c r="A131" s="3"/>
      <c r="B131" s="45"/>
      <c r="E131" s="47"/>
      <c r="G131" s="8"/>
    </row>
    <row r="132">
      <c r="A132" s="3"/>
      <c r="B132" s="45"/>
      <c r="E132" s="47"/>
      <c r="G132" s="8"/>
    </row>
    <row r="133">
      <c r="A133" s="3"/>
      <c r="B133" s="45"/>
      <c r="E133" s="47"/>
      <c r="G133" s="8"/>
    </row>
    <row r="134">
      <c r="A134" s="3"/>
      <c r="B134" s="45"/>
      <c r="E134" s="47"/>
      <c r="G134" s="8"/>
    </row>
    <row r="135">
      <c r="A135" s="3"/>
      <c r="B135" s="45"/>
      <c r="E135" s="47"/>
      <c r="G135" s="8"/>
    </row>
    <row r="136">
      <c r="A136" s="3"/>
      <c r="B136" s="45"/>
      <c r="E136" s="47"/>
      <c r="G136" s="8"/>
    </row>
    <row r="137">
      <c r="A137" s="3"/>
      <c r="B137" s="45"/>
      <c r="E137" s="47"/>
      <c r="G137" s="8"/>
    </row>
    <row r="138">
      <c r="A138" s="3"/>
      <c r="B138" s="54"/>
      <c r="C138" s="55"/>
      <c r="D138" s="55"/>
      <c r="E138" s="56"/>
      <c r="G138" s="8"/>
    </row>
    <row r="139">
      <c r="A139" s="3"/>
      <c r="B139" s="3"/>
      <c r="C139" s="2"/>
      <c r="D139" s="3"/>
      <c r="G139" s="8"/>
    </row>
    <row r="140">
      <c r="A140" s="3"/>
      <c r="B140" s="3"/>
      <c r="C140" s="2"/>
      <c r="D140" s="3"/>
      <c r="G140" s="8"/>
    </row>
    <row r="141">
      <c r="A141" s="3"/>
      <c r="B141" s="3"/>
      <c r="C141" s="2"/>
      <c r="D141" s="3"/>
      <c r="G141" s="8"/>
    </row>
    <row r="142">
      <c r="A142" s="3"/>
      <c r="B142" s="3"/>
      <c r="C142" s="2"/>
      <c r="D142" s="3"/>
      <c r="G142" s="8"/>
    </row>
    <row r="143">
      <c r="A143" s="3"/>
      <c r="B143" s="3"/>
      <c r="C143" s="2"/>
      <c r="D143" s="3"/>
      <c r="G143" s="8"/>
    </row>
    <row r="144">
      <c r="A144" s="3"/>
      <c r="B144" s="3"/>
      <c r="C144" s="2"/>
      <c r="D144" s="3"/>
      <c r="G144" s="8"/>
    </row>
    <row r="145">
      <c r="A145" s="3"/>
      <c r="B145" s="3"/>
      <c r="C145" s="2"/>
      <c r="D145" s="3"/>
      <c r="G145" s="8"/>
    </row>
    <row r="146">
      <c r="A146" s="3"/>
      <c r="B146" s="3"/>
      <c r="C146" s="2"/>
      <c r="D146" s="3"/>
      <c r="G146" s="8"/>
    </row>
    <row r="147">
      <c r="A147" s="3"/>
      <c r="B147" s="3"/>
      <c r="C147" s="2"/>
      <c r="D147" s="3"/>
      <c r="G147" s="8"/>
    </row>
    <row r="148">
      <c r="A148" s="3"/>
      <c r="B148" s="3"/>
      <c r="C148" s="2"/>
      <c r="D148" s="3"/>
      <c r="G148" s="8"/>
    </row>
    <row r="149">
      <c r="A149" s="3"/>
      <c r="B149" s="3"/>
      <c r="C149" s="2"/>
      <c r="D149" s="3"/>
      <c r="G149" s="8"/>
    </row>
    <row r="150">
      <c r="A150" s="3"/>
      <c r="B150" s="3"/>
      <c r="C150" s="2"/>
      <c r="D150" s="3"/>
      <c r="G150" s="8"/>
    </row>
    <row r="151">
      <c r="A151" s="3"/>
      <c r="B151" s="3"/>
      <c r="C151" s="2"/>
      <c r="D151" s="3"/>
      <c r="G151" s="8"/>
    </row>
    <row r="152">
      <c r="A152" s="3"/>
      <c r="B152" s="3"/>
      <c r="C152" s="2"/>
      <c r="D152" s="3"/>
      <c r="G152" s="8"/>
    </row>
    <row r="153">
      <c r="A153" s="3"/>
      <c r="B153" s="3"/>
      <c r="C153" s="2"/>
      <c r="D153" s="3"/>
      <c r="G153" s="8"/>
    </row>
    <row r="154">
      <c r="A154" s="3"/>
      <c r="B154" s="3"/>
      <c r="C154" s="2"/>
      <c r="D154" s="3"/>
      <c r="G154" s="8"/>
    </row>
    <row r="155">
      <c r="A155" s="3"/>
      <c r="B155" s="3"/>
      <c r="C155" s="2"/>
      <c r="D155" s="3"/>
      <c r="G155" s="8"/>
    </row>
    <row r="156">
      <c r="A156" s="3"/>
      <c r="B156" s="3"/>
      <c r="C156" s="2"/>
      <c r="D156" s="3"/>
      <c r="G156" s="8"/>
    </row>
    <row r="157">
      <c r="A157" s="3"/>
      <c r="B157" s="3"/>
      <c r="C157" s="2"/>
      <c r="D157" s="3"/>
      <c r="G157" s="8"/>
    </row>
    <row r="158">
      <c r="A158" s="3"/>
      <c r="B158" s="3"/>
      <c r="C158" s="2"/>
      <c r="D158" s="3"/>
      <c r="G158" s="8"/>
    </row>
    <row r="159">
      <c r="A159" s="3"/>
      <c r="B159" s="3"/>
      <c r="C159" s="2"/>
      <c r="D159" s="3"/>
      <c r="G159" s="8"/>
    </row>
    <row r="160">
      <c r="A160" s="3"/>
      <c r="B160" s="3"/>
      <c r="C160" s="2"/>
      <c r="D160" s="3"/>
      <c r="G160" s="8"/>
    </row>
    <row r="161">
      <c r="A161" s="3"/>
      <c r="B161" s="3"/>
      <c r="C161" s="2"/>
      <c r="D161" s="3"/>
      <c r="G161" s="8"/>
    </row>
    <row r="162">
      <c r="A162" s="3"/>
      <c r="B162" s="3"/>
      <c r="C162" s="2"/>
      <c r="D162" s="3"/>
      <c r="G162" s="8"/>
    </row>
    <row r="163">
      <c r="A163" s="3"/>
      <c r="B163" s="3"/>
      <c r="C163" s="2"/>
      <c r="D163" s="3"/>
      <c r="G163" s="8"/>
    </row>
    <row r="164">
      <c r="A164" s="3"/>
      <c r="B164" s="3"/>
      <c r="C164" s="2"/>
      <c r="D164" s="3"/>
      <c r="G164" s="8"/>
    </row>
    <row r="165">
      <c r="A165" s="3"/>
      <c r="B165" s="3"/>
      <c r="C165" s="2"/>
      <c r="D165" s="3"/>
      <c r="G165" s="8"/>
    </row>
    <row r="166">
      <c r="A166" s="3"/>
      <c r="B166" s="3"/>
      <c r="C166" s="2"/>
      <c r="D166" s="3"/>
      <c r="G166" s="8"/>
    </row>
    <row r="167">
      <c r="A167" s="3"/>
      <c r="B167" s="3"/>
      <c r="C167" s="2"/>
      <c r="D167" s="3"/>
      <c r="G167" s="8"/>
    </row>
    <row r="168">
      <c r="A168" s="3"/>
      <c r="B168" s="3"/>
      <c r="C168" s="2"/>
      <c r="D168" s="3"/>
      <c r="G168" s="8"/>
    </row>
    <row r="169">
      <c r="A169" s="3"/>
      <c r="B169" s="3"/>
      <c r="C169" s="2"/>
      <c r="D169" s="3"/>
      <c r="G169" s="8"/>
    </row>
    <row r="170">
      <c r="A170" s="3"/>
      <c r="B170" s="3"/>
      <c r="C170" s="2"/>
      <c r="D170" s="3"/>
      <c r="G170" s="8"/>
    </row>
    <row r="171">
      <c r="A171" s="3"/>
      <c r="B171" s="3"/>
      <c r="C171" s="2"/>
      <c r="D171" s="3"/>
      <c r="G171" s="8"/>
    </row>
    <row r="172">
      <c r="A172" s="3"/>
      <c r="B172" s="3"/>
      <c r="C172" s="2"/>
      <c r="D172" s="3"/>
      <c r="G172" s="8"/>
    </row>
    <row r="173">
      <c r="A173" s="3"/>
      <c r="B173" s="3"/>
      <c r="C173" s="2"/>
      <c r="D173" s="3"/>
      <c r="G173" s="8"/>
    </row>
    <row r="174">
      <c r="A174" s="3"/>
      <c r="B174" s="3"/>
      <c r="C174" s="2"/>
      <c r="D174" s="3"/>
      <c r="G174" s="8"/>
    </row>
    <row r="175">
      <c r="A175" s="3"/>
      <c r="B175" s="3"/>
      <c r="C175" s="2"/>
      <c r="D175" s="3"/>
      <c r="G175" s="8"/>
    </row>
    <row r="176">
      <c r="A176" s="3"/>
      <c r="B176" s="3"/>
      <c r="C176" s="2"/>
      <c r="D176" s="3"/>
      <c r="G176" s="8"/>
    </row>
    <row r="177">
      <c r="A177" s="3"/>
      <c r="B177" s="3"/>
      <c r="C177" s="2"/>
      <c r="D177" s="3"/>
      <c r="G177" s="8"/>
    </row>
    <row r="178">
      <c r="A178" s="3"/>
      <c r="B178" s="3"/>
      <c r="C178" s="2"/>
      <c r="D178" s="3"/>
      <c r="G178" s="8"/>
    </row>
    <row r="179">
      <c r="A179" s="3"/>
      <c r="B179" s="3"/>
      <c r="C179" s="2"/>
      <c r="D179" s="3"/>
      <c r="G179" s="8"/>
    </row>
    <row r="180">
      <c r="A180" s="3"/>
      <c r="B180" s="3"/>
      <c r="C180" s="2"/>
      <c r="D180" s="3"/>
      <c r="G180" s="8"/>
    </row>
    <row r="181">
      <c r="A181" s="3"/>
      <c r="B181" s="3"/>
      <c r="C181" s="2"/>
      <c r="D181" s="3"/>
      <c r="G181" s="8"/>
    </row>
    <row r="182">
      <c r="A182" s="3"/>
      <c r="B182" s="3"/>
      <c r="C182" s="2"/>
      <c r="D182" s="3"/>
      <c r="G182" s="8"/>
    </row>
    <row r="183">
      <c r="A183" s="3"/>
      <c r="B183" s="3"/>
      <c r="C183" s="2"/>
      <c r="D183" s="3"/>
      <c r="G183" s="8"/>
    </row>
    <row r="184">
      <c r="A184" s="3"/>
      <c r="B184" s="3"/>
      <c r="C184" s="2"/>
      <c r="D184" s="3"/>
      <c r="G184" s="8"/>
    </row>
    <row r="185">
      <c r="A185" s="3"/>
      <c r="B185" s="3"/>
      <c r="C185" s="2"/>
      <c r="D185" s="3"/>
      <c r="G185" s="8"/>
    </row>
    <row r="186">
      <c r="A186" s="3"/>
      <c r="B186" s="3"/>
      <c r="C186" s="2"/>
      <c r="D186" s="3"/>
      <c r="G186" s="8"/>
    </row>
    <row r="187">
      <c r="A187" s="3"/>
      <c r="B187" s="3"/>
      <c r="C187" s="2"/>
      <c r="D187" s="3"/>
      <c r="G187" s="8"/>
    </row>
    <row r="188">
      <c r="A188" s="3"/>
      <c r="B188" s="3"/>
      <c r="C188" s="2"/>
      <c r="D188" s="3"/>
      <c r="G188" s="8"/>
    </row>
    <row r="189">
      <c r="A189" s="3"/>
      <c r="B189" s="3"/>
      <c r="C189" s="2"/>
      <c r="D189" s="3"/>
      <c r="G189" s="8"/>
    </row>
    <row r="190">
      <c r="A190" s="3"/>
      <c r="B190" s="3"/>
      <c r="C190" s="2"/>
      <c r="D190" s="3"/>
      <c r="G190" s="8"/>
    </row>
    <row r="191">
      <c r="A191" s="3"/>
      <c r="B191" s="3"/>
      <c r="C191" s="2"/>
      <c r="D191" s="3"/>
      <c r="G191" s="8"/>
    </row>
    <row r="192">
      <c r="A192" s="3"/>
      <c r="B192" s="3"/>
      <c r="C192" s="2"/>
      <c r="D192" s="3"/>
      <c r="G192" s="8"/>
    </row>
    <row r="193">
      <c r="A193" s="3"/>
      <c r="B193" s="3"/>
      <c r="C193" s="2"/>
      <c r="D193" s="3"/>
      <c r="G193" s="8"/>
    </row>
    <row r="194">
      <c r="A194" s="3"/>
      <c r="B194" s="3"/>
      <c r="C194" s="2"/>
      <c r="D194" s="3"/>
      <c r="G194" s="8"/>
    </row>
    <row r="195">
      <c r="A195" s="3"/>
      <c r="B195" s="3"/>
      <c r="C195" s="2"/>
      <c r="D195" s="3"/>
      <c r="G195" s="8"/>
    </row>
    <row r="196">
      <c r="A196" s="3"/>
      <c r="B196" s="3"/>
      <c r="C196" s="2"/>
      <c r="D196" s="3"/>
      <c r="G196" s="8"/>
    </row>
    <row r="197">
      <c r="A197" s="3"/>
      <c r="B197" s="3"/>
      <c r="C197" s="2"/>
      <c r="D197" s="3"/>
      <c r="G197" s="8"/>
    </row>
    <row r="198">
      <c r="A198" s="3"/>
      <c r="B198" s="3"/>
      <c r="C198" s="2"/>
      <c r="D198" s="3"/>
      <c r="G198" s="8"/>
    </row>
    <row r="199">
      <c r="A199" s="3"/>
      <c r="B199" s="3"/>
      <c r="C199" s="2"/>
      <c r="D199" s="3"/>
      <c r="G199" s="8"/>
    </row>
    <row r="200">
      <c r="A200" s="3"/>
      <c r="B200" s="3"/>
      <c r="C200" s="2"/>
      <c r="D200" s="3"/>
      <c r="G200" s="8"/>
    </row>
    <row r="201">
      <c r="A201" s="3"/>
      <c r="B201" s="3"/>
      <c r="C201" s="2"/>
      <c r="D201" s="3"/>
      <c r="G201" s="8"/>
    </row>
    <row r="202">
      <c r="A202" s="3"/>
      <c r="B202" s="3"/>
      <c r="C202" s="2"/>
      <c r="D202" s="3"/>
      <c r="G202" s="8"/>
    </row>
    <row r="203">
      <c r="A203" s="3"/>
      <c r="B203" s="3"/>
      <c r="C203" s="2"/>
      <c r="D203" s="3"/>
      <c r="G203" s="8"/>
    </row>
    <row r="204">
      <c r="A204" s="3"/>
      <c r="B204" s="3"/>
      <c r="C204" s="2"/>
      <c r="D204" s="3"/>
      <c r="G204" s="8"/>
    </row>
    <row r="205">
      <c r="A205" s="3"/>
      <c r="B205" s="3"/>
      <c r="C205" s="2"/>
      <c r="D205" s="3"/>
      <c r="G205" s="8"/>
    </row>
    <row r="206">
      <c r="A206" s="3"/>
      <c r="B206" s="3"/>
      <c r="C206" s="2"/>
      <c r="D206" s="3"/>
      <c r="G206" s="8"/>
    </row>
    <row r="207">
      <c r="A207" s="3"/>
      <c r="B207" s="3"/>
      <c r="C207" s="2"/>
      <c r="D207" s="3"/>
      <c r="G207" s="8"/>
    </row>
    <row r="208">
      <c r="A208" s="3"/>
      <c r="B208" s="3"/>
      <c r="C208" s="2"/>
      <c r="D208" s="3"/>
      <c r="G208" s="8"/>
    </row>
    <row r="209">
      <c r="A209" s="3"/>
      <c r="B209" s="3"/>
      <c r="C209" s="2"/>
      <c r="D209" s="3"/>
      <c r="G209" s="8"/>
    </row>
    <row r="210">
      <c r="A210" s="3"/>
      <c r="B210" s="3"/>
      <c r="C210" s="2"/>
      <c r="D210" s="3"/>
      <c r="G210" s="8"/>
    </row>
    <row r="211">
      <c r="A211" s="3"/>
      <c r="B211" s="3"/>
      <c r="C211" s="2"/>
      <c r="D211" s="3"/>
      <c r="G211" s="8"/>
    </row>
    <row r="212">
      <c r="A212" s="3"/>
      <c r="B212" s="3"/>
      <c r="C212" s="2"/>
      <c r="D212" s="3"/>
      <c r="G212" s="8"/>
    </row>
    <row r="213">
      <c r="A213" s="3"/>
      <c r="B213" s="3"/>
      <c r="C213" s="2"/>
      <c r="D213" s="3"/>
      <c r="G213" s="8"/>
    </row>
    <row r="214">
      <c r="A214" s="3"/>
      <c r="B214" s="3"/>
      <c r="C214" s="2"/>
      <c r="D214" s="3"/>
      <c r="G214" s="8"/>
    </row>
    <row r="215">
      <c r="A215" s="3"/>
      <c r="B215" s="3"/>
      <c r="C215" s="2"/>
      <c r="D215" s="3"/>
      <c r="G215" s="8"/>
    </row>
    <row r="216">
      <c r="A216" s="3"/>
      <c r="B216" s="3"/>
      <c r="C216" s="2"/>
      <c r="D216" s="3"/>
      <c r="G216" s="8"/>
    </row>
    <row r="217">
      <c r="A217" s="3"/>
      <c r="B217" s="3"/>
      <c r="C217" s="2"/>
      <c r="D217" s="3"/>
      <c r="G217" s="8"/>
    </row>
    <row r="218">
      <c r="A218" s="3"/>
      <c r="B218" s="3"/>
      <c r="C218" s="2"/>
      <c r="D218" s="3"/>
      <c r="G218" s="8"/>
    </row>
    <row r="219">
      <c r="A219" s="3"/>
      <c r="B219" s="3"/>
      <c r="C219" s="2"/>
      <c r="D219" s="3"/>
      <c r="G219" s="8"/>
    </row>
    <row r="220">
      <c r="A220" s="3"/>
      <c r="B220" s="3"/>
      <c r="C220" s="2"/>
      <c r="D220" s="3"/>
      <c r="G220" s="8"/>
    </row>
    <row r="221">
      <c r="A221" s="3"/>
      <c r="B221" s="3"/>
      <c r="C221" s="2"/>
      <c r="D221" s="3"/>
      <c r="G221" s="8"/>
    </row>
    <row r="222">
      <c r="A222" s="3"/>
      <c r="B222" s="3"/>
      <c r="C222" s="2"/>
      <c r="D222" s="3"/>
      <c r="G222" s="8"/>
    </row>
    <row r="223">
      <c r="A223" s="3"/>
      <c r="B223" s="3"/>
      <c r="C223" s="2"/>
      <c r="D223" s="3"/>
      <c r="G223" s="8"/>
    </row>
    <row r="224">
      <c r="A224" s="3"/>
      <c r="B224" s="3"/>
      <c r="C224" s="2"/>
      <c r="D224" s="3"/>
      <c r="G224" s="8"/>
    </row>
    <row r="225">
      <c r="A225" s="3"/>
      <c r="B225" s="3"/>
      <c r="C225" s="2"/>
      <c r="D225" s="3"/>
      <c r="G225" s="8"/>
    </row>
    <row r="226">
      <c r="A226" s="3"/>
      <c r="B226" s="3"/>
      <c r="C226" s="2"/>
      <c r="D226" s="3"/>
      <c r="G226" s="8"/>
    </row>
    <row r="227">
      <c r="A227" s="3"/>
      <c r="B227" s="3"/>
      <c r="C227" s="2"/>
      <c r="D227" s="3"/>
      <c r="G227" s="8"/>
    </row>
    <row r="228">
      <c r="A228" s="3"/>
      <c r="B228" s="3"/>
      <c r="C228" s="2"/>
      <c r="D228" s="3"/>
      <c r="G228" s="8"/>
    </row>
    <row r="229">
      <c r="A229" s="3"/>
      <c r="B229" s="3"/>
      <c r="C229" s="2"/>
      <c r="D229" s="3"/>
      <c r="G229" s="8"/>
    </row>
    <row r="230">
      <c r="A230" s="3"/>
      <c r="B230" s="3"/>
      <c r="C230" s="2"/>
      <c r="D230" s="3"/>
      <c r="G230" s="8"/>
    </row>
    <row r="231">
      <c r="A231" s="3"/>
      <c r="B231" s="3"/>
      <c r="C231" s="2"/>
      <c r="D231" s="3"/>
      <c r="G231" s="8"/>
    </row>
    <row r="232">
      <c r="A232" s="3"/>
      <c r="B232" s="3"/>
      <c r="C232" s="2"/>
      <c r="D232" s="3"/>
      <c r="G232" s="8"/>
    </row>
    <row r="233">
      <c r="A233" s="3"/>
      <c r="B233" s="3"/>
      <c r="C233" s="2"/>
      <c r="D233" s="3"/>
      <c r="G233" s="8"/>
    </row>
    <row r="234">
      <c r="A234" s="3"/>
      <c r="B234" s="3"/>
      <c r="C234" s="2"/>
      <c r="D234" s="3"/>
      <c r="G234" s="8"/>
    </row>
    <row r="235">
      <c r="A235" s="3"/>
      <c r="B235" s="3"/>
      <c r="C235" s="2"/>
      <c r="D235" s="3"/>
      <c r="G235" s="8"/>
    </row>
    <row r="236">
      <c r="A236" s="3"/>
      <c r="B236" s="3"/>
      <c r="C236" s="2"/>
      <c r="D236" s="3"/>
      <c r="G236" s="8"/>
    </row>
    <row r="237">
      <c r="A237" s="3"/>
      <c r="B237" s="3"/>
      <c r="C237" s="2"/>
      <c r="D237" s="3"/>
      <c r="G237" s="8"/>
    </row>
    <row r="238">
      <c r="A238" s="3"/>
      <c r="B238" s="3"/>
      <c r="C238" s="2"/>
      <c r="D238" s="3"/>
      <c r="G238" s="8"/>
    </row>
    <row r="239">
      <c r="A239" s="3"/>
      <c r="B239" s="3"/>
      <c r="C239" s="2"/>
      <c r="D239" s="3"/>
      <c r="G239" s="8"/>
    </row>
    <row r="240">
      <c r="A240" s="3"/>
      <c r="B240" s="3"/>
      <c r="C240" s="2"/>
      <c r="D240" s="3"/>
      <c r="G240" s="8"/>
    </row>
    <row r="241">
      <c r="A241" s="3"/>
      <c r="B241" s="3"/>
      <c r="C241" s="2"/>
      <c r="D241" s="3"/>
      <c r="G241" s="8"/>
    </row>
    <row r="242">
      <c r="A242" s="3"/>
      <c r="B242" s="3"/>
      <c r="C242" s="2"/>
      <c r="D242" s="3"/>
      <c r="G242" s="8"/>
    </row>
    <row r="243">
      <c r="A243" s="3"/>
      <c r="B243" s="3"/>
      <c r="C243" s="2"/>
      <c r="D243" s="3"/>
      <c r="G243" s="8"/>
    </row>
    <row r="244">
      <c r="A244" s="3"/>
      <c r="B244" s="3"/>
      <c r="C244" s="2"/>
      <c r="D244" s="3"/>
      <c r="G244" s="8"/>
    </row>
    <row r="245">
      <c r="A245" s="3"/>
      <c r="B245" s="3"/>
      <c r="C245" s="2"/>
      <c r="D245" s="3"/>
      <c r="G245" s="8"/>
    </row>
    <row r="246">
      <c r="A246" s="3"/>
      <c r="B246" s="3"/>
      <c r="C246" s="2"/>
      <c r="D246" s="3"/>
      <c r="G246" s="8"/>
    </row>
    <row r="247">
      <c r="A247" s="3"/>
      <c r="B247" s="3"/>
      <c r="C247" s="2"/>
      <c r="D247" s="3"/>
      <c r="G247" s="8"/>
    </row>
    <row r="248">
      <c r="A248" s="3"/>
      <c r="B248" s="3"/>
      <c r="C248" s="2"/>
      <c r="D248" s="3"/>
      <c r="G248" s="8"/>
    </row>
    <row r="249">
      <c r="A249" s="3"/>
      <c r="B249" s="3"/>
      <c r="C249" s="2"/>
      <c r="D249" s="3"/>
      <c r="G249" s="8"/>
    </row>
    <row r="250">
      <c r="A250" s="3"/>
      <c r="B250" s="3"/>
      <c r="C250" s="2"/>
      <c r="D250" s="3"/>
      <c r="G250" s="8"/>
    </row>
    <row r="251">
      <c r="A251" s="3"/>
      <c r="B251" s="3"/>
      <c r="C251" s="2"/>
      <c r="D251" s="3"/>
      <c r="G251" s="8"/>
    </row>
    <row r="252">
      <c r="A252" s="3"/>
      <c r="B252" s="3"/>
      <c r="C252" s="2"/>
      <c r="D252" s="3"/>
      <c r="G252" s="8"/>
    </row>
    <row r="253">
      <c r="A253" s="3"/>
      <c r="B253" s="3"/>
      <c r="C253" s="2"/>
      <c r="D253" s="3"/>
      <c r="G253" s="8"/>
    </row>
    <row r="254">
      <c r="A254" s="3"/>
      <c r="B254" s="3"/>
      <c r="C254" s="2"/>
      <c r="D254" s="3"/>
      <c r="G254" s="8"/>
    </row>
    <row r="255">
      <c r="A255" s="3"/>
      <c r="B255" s="3"/>
      <c r="C255" s="2"/>
      <c r="D255" s="3"/>
      <c r="G255" s="8"/>
    </row>
    <row r="256">
      <c r="A256" s="3"/>
      <c r="B256" s="3"/>
      <c r="C256" s="2"/>
      <c r="D256" s="3"/>
      <c r="G256" s="8"/>
    </row>
    <row r="257">
      <c r="A257" s="3"/>
      <c r="B257" s="3"/>
      <c r="C257" s="2"/>
      <c r="D257" s="3"/>
      <c r="G257" s="8"/>
    </row>
    <row r="258">
      <c r="A258" s="3"/>
      <c r="B258" s="3"/>
      <c r="C258" s="2"/>
      <c r="D258" s="3"/>
      <c r="G258" s="8"/>
    </row>
    <row r="259">
      <c r="A259" s="3"/>
      <c r="B259" s="3"/>
      <c r="C259" s="2"/>
      <c r="D259" s="3"/>
      <c r="G259" s="8"/>
    </row>
    <row r="260">
      <c r="A260" s="3"/>
      <c r="B260" s="3"/>
      <c r="C260" s="2"/>
      <c r="D260" s="3"/>
      <c r="G260" s="8"/>
    </row>
    <row r="261">
      <c r="A261" s="3"/>
      <c r="B261" s="3"/>
      <c r="C261" s="2"/>
      <c r="D261" s="3"/>
      <c r="G261" s="8"/>
    </row>
    <row r="262">
      <c r="A262" s="3"/>
      <c r="B262" s="3"/>
      <c r="C262" s="2"/>
      <c r="D262" s="3"/>
      <c r="G262" s="8"/>
    </row>
    <row r="263">
      <c r="A263" s="3"/>
      <c r="B263" s="3"/>
      <c r="C263" s="2"/>
      <c r="D263" s="3"/>
      <c r="G263" s="8"/>
    </row>
    <row r="264">
      <c r="A264" s="3"/>
      <c r="B264" s="3"/>
      <c r="C264" s="2"/>
      <c r="D264" s="3"/>
      <c r="G264" s="8"/>
    </row>
    <row r="265">
      <c r="A265" s="3"/>
      <c r="B265" s="3"/>
      <c r="C265" s="2"/>
      <c r="D265" s="3"/>
      <c r="G265" s="8"/>
    </row>
    <row r="266">
      <c r="A266" s="3"/>
      <c r="B266" s="3"/>
      <c r="C266" s="2"/>
      <c r="D266" s="3"/>
      <c r="G266" s="8"/>
    </row>
    <row r="267">
      <c r="A267" s="3"/>
      <c r="B267" s="3"/>
      <c r="C267" s="2"/>
      <c r="D267" s="3"/>
      <c r="G267" s="8"/>
    </row>
    <row r="268">
      <c r="A268" s="3"/>
      <c r="B268" s="3"/>
      <c r="C268" s="2"/>
      <c r="D268" s="3"/>
      <c r="G268" s="8"/>
    </row>
    <row r="269">
      <c r="A269" s="3"/>
      <c r="B269" s="3"/>
      <c r="C269" s="2"/>
      <c r="D269" s="3"/>
      <c r="G269" s="8"/>
    </row>
    <row r="270">
      <c r="A270" s="3"/>
      <c r="B270" s="3"/>
      <c r="C270" s="2"/>
      <c r="D270" s="3"/>
      <c r="G270" s="8"/>
    </row>
    <row r="271">
      <c r="A271" s="3"/>
      <c r="B271" s="3"/>
      <c r="C271" s="2"/>
      <c r="D271" s="3"/>
      <c r="G271" s="8"/>
    </row>
    <row r="272">
      <c r="A272" s="3"/>
      <c r="B272" s="3"/>
      <c r="C272" s="2"/>
      <c r="D272" s="3"/>
      <c r="G272" s="8"/>
    </row>
    <row r="273">
      <c r="A273" s="3"/>
      <c r="B273" s="3"/>
      <c r="C273" s="2"/>
      <c r="D273" s="3"/>
      <c r="G273" s="8"/>
    </row>
    <row r="274">
      <c r="A274" s="3"/>
      <c r="B274" s="3"/>
      <c r="C274" s="2"/>
      <c r="D274" s="3"/>
      <c r="G274" s="8"/>
    </row>
    <row r="275">
      <c r="A275" s="3"/>
      <c r="B275" s="3"/>
      <c r="C275" s="2"/>
      <c r="D275" s="3"/>
      <c r="G275" s="8"/>
    </row>
    <row r="276">
      <c r="A276" s="3"/>
      <c r="B276" s="3"/>
      <c r="C276" s="2"/>
      <c r="D276" s="3"/>
      <c r="G276" s="8"/>
    </row>
    <row r="277">
      <c r="A277" s="3"/>
      <c r="B277" s="3"/>
      <c r="C277" s="2"/>
      <c r="D277" s="3"/>
      <c r="G277" s="8"/>
    </row>
    <row r="278">
      <c r="A278" s="3"/>
      <c r="B278" s="3"/>
      <c r="C278" s="2"/>
      <c r="D278" s="3"/>
      <c r="G278" s="8"/>
    </row>
    <row r="279">
      <c r="A279" s="3"/>
      <c r="B279" s="3"/>
      <c r="C279" s="2"/>
      <c r="D279" s="3"/>
      <c r="G279" s="8"/>
    </row>
    <row r="280">
      <c r="A280" s="3"/>
      <c r="B280" s="3"/>
      <c r="C280" s="2"/>
      <c r="D280" s="3"/>
      <c r="G280" s="8"/>
    </row>
    <row r="281">
      <c r="A281" s="3"/>
      <c r="B281" s="3"/>
      <c r="C281" s="2"/>
      <c r="D281" s="3"/>
      <c r="G281" s="8"/>
    </row>
    <row r="282">
      <c r="A282" s="3"/>
      <c r="B282" s="3"/>
      <c r="C282" s="2"/>
      <c r="D282" s="3"/>
      <c r="G282" s="8"/>
    </row>
    <row r="283">
      <c r="A283" s="3"/>
      <c r="B283" s="3"/>
      <c r="C283" s="2"/>
      <c r="D283" s="3"/>
      <c r="G283" s="8"/>
    </row>
    <row r="284">
      <c r="A284" s="3"/>
      <c r="B284" s="3"/>
      <c r="C284" s="2"/>
      <c r="D284" s="3"/>
      <c r="G284" s="8"/>
    </row>
    <row r="285">
      <c r="A285" s="3"/>
      <c r="B285" s="3"/>
      <c r="C285" s="2"/>
      <c r="D285" s="3"/>
      <c r="G285" s="8"/>
    </row>
    <row r="286">
      <c r="A286" s="3"/>
      <c r="B286" s="3"/>
      <c r="C286" s="2"/>
      <c r="D286" s="3"/>
      <c r="G286" s="8"/>
    </row>
    <row r="287">
      <c r="A287" s="3"/>
      <c r="B287" s="3"/>
      <c r="C287" s="2"/>
      <c r="D287" s="3"/>
      <c r="G287" s="8"/>
    </row>
    <row r="288">
      <c r="A288" s="3"/>
      <c r="B288" s="3"/>
      <c r="C288" s="2"/>
      <c r="D288" s="3"/>
      <c r="G288" s="8"/>
    </row>
    <row r="289">
      <c r="A289" s="3"/>
      <c r="B289" s="3"/>
      <c r="C289" s="2"/>
      <c r="D289" s="3"/>
      <c r="G289" s="8"/>
    </row>
    <row r="290">
      <c r="A290" s="3"/>
      <c r="B290" s="3"/>
      <c r="C290" s="2"/>
      <c r="D290" s="3"/>
      <c r="G290" s="8"/>
    </row>
    <row r="291">
      <c r="A291" s="3"/>
      <c r="B291" s="3"/>
      <c r="C291" s="2"/>
      <c r="D291" s="3"/>
      <c r="G291" s="8"/>
    </row>
    <row r="292">
      <c r="A292" s="3"/>
      <c r="B292" s="3"/>
      <c r="C292" s="2"/>
      <c r="D292" s="3"/>
      <c r="G292" s="8"/>
    </row>
    <row r="293">
      <c r="A293" s="3"/>
      <c r="B293" s="3"/>
      <c r="C293" s="2"/>
      <c r="D293" s="3"/>
      <c r="G293" s="8"/>
    </row>
    <row r="294">
      <c r="A294" s="3"/>
      <c r="B294" s="3"/>
      <c r="C294" s="2"/>
      <c r="D294" s="3"/>
      <c r="G294" s="8"/>
    </row>
    <row r="295">
      <c r="A295" s="3"/>
      <c r="B295" s="3"/>
      <c r="C295" s="2"/>
      <c r="D295" s="3"/>
      <c r="G295" s="8"/>
    </row>
    <row r="296">
      <c r="A296" s="3"/>
      <c r="B296" s="3"/>
      <c r="C296" s="2"/>
      <c r="D296" s="3"/>
      <c r="G296" s="8"/>
    </row>
    <row r="297">
      <c r="A297" s="3"/>
      <c r="B297" s="3"/>
      <c r="C297" s="2"/>
      <c r="D297" s="3"/>
      <c r="G297" s="8"/>
    </row>
    <row r="298">
      <c r="A298" s="3"/>
      <c r="B298" s="3"/>
      <c r="C298" s="2"/>
      <c r="D298" s="3"/>
      <c r="G298" s="8"/>
    </row>
    <row r="299">
      <c r="A299" s="3"/>
      <c r="B299" s="3"/>
      <c r="C299" s="2"/>
      <c r="D299" s="3"/>
      <c r="G299" s="8"/>
    </row>
    <row r="300">
      <c r="A300" s="3"/>
      <c r="B300" s="3"/>
      <c r="C300" s="2"/>
      <c r="D300" s="3"/>
      <c r="G300" s="8"/>
    </row>
    <row r="301">
      <c r="A301" s="3"/>
      <c r="B301" s="3"/>
      <c r="C301" s="2"/>
      <c r="D301" s="3"/>
      <c r="G301" s="8"/>
    </row>
    <row r="302">
      <c r="A302" s="3"/>
      <c r="B302" s="3"/>
      <c r="C302" s="2"/>
      <c r="D302" s="3"/>
      <c r="G302" s="8"/>
    </row>
    <row r="303">
      <c r="A303" s="3"/>
      <c r="B303" s="3"/>
      <c r="C303" s="2"/>
      <c r="D303" s="3"/>
      <c r="G303" s="8"/>
    </row>
    <row r="304">
      <c r="A304" s="3"/>
      <c r="B304" s="3"/>
      <c r="C304" s="2"/>
      <c r="D304" s="3"/>
      <c r="G304" s="8"/>
    </row>
    <row r="305">
      <c r="A305" s="3"/>
      <c r="B305" s="3"/>
      <c r="C305" s="2"/>
      <c r="D305" s="3"/>
      <c r="G305" s="8"/>
    </row>
    <row r="306">
      <c r="A306" s="3"/>
      <c r="B306" s="3"/>
      <c r="C306" s="2"/>
      <c r="D306" s="3"/>
      <c r="G306" s="8"/>
    </row>
    <row r="307">
      <c r="A307" s="3"/>
      <c r="B307" s="3"/>
      <c r="C307" s="2"/>
      <c r="D307" s="3"/>
      <c r="G307" s="8"/>
    </row>
    <row r="308">
      <c r="A308" s="3"/>
      <c r="B308" s="3"/>
      <c r="C308" s="2"/>
      <c r="D308" s="3"/>
      <c r="G308" s="8"/>
    </row>
    <row r="309">
      <c r="A309" s="3"/>
      <c r="B309" s="3"/>
      <c r="C309" s="2"/>
      <c r="D309" s="3"/>
      <c r="G309" s="8"/>
    </row>
    <row r="310">
      <c r="A310" s="3"/>
      <c r="B310" s="3"/>
      <c r="C310" s="2"/>
      <c r="D310" s="3"/>
      <c r="G310" s="8"/>
    </row>
    <row r="311">
      <c r="A311" s="3"/>
      <c r="B311" s="3"/>
      <c r="C311" s="2"/>
      <c r="D311" s="3"/>
      <c r="G311" s="8"/>
    </row>
    <row r="312">
      <c r="A312" s="3"/>
      <c r="B312" s="3"/>
      <c r="C312" s="2"/>
      <c r="D312" s="3"/>
      <c r="G312" s="8"/>
    </row>
    <row r="313">
      <c r="A313" s="3"/>
      <c r="B313" s="3"/>
      <c r="C313" s="2"/>
      <c r="D313" s="3"/>
      <c r="G313" s="8"/>
    </row>
    <row r="314">
      <c r="A314" s="3"/>
      <c r="B314" s="3"/>
      <c r="C314" s="2"/>
      <c r="D314" s="3"/>
      <c r="G314" s="8"/>
    </row>
    <row r="315">
      <c r="A315" s="3"/>
      <c r="B315" s="3"/>
      <c r="C315" s="2"/>
      <c r="D315" s="3"/>
      <c r="G315" s="8"/>
    </row>
    <row r="316">
      <c r="A316" s="3"/>
      <c r="B316" s="3"/>
      <c r="C316" s="2"/>
      <c r="D316" s="3"/>
      <c r="G316" s="8"/>
    </row>
    <row r="317">
      <c r="A317" s="3"/>
      <c r="B317" s="3"/>
      <c r="C317" s="2"/>
      <c r="D317" s="3"/>
      <c r="G317" s="8"/>
    </row>
    <row r="318">
      <c r="A318" s="3"/>
      <c r="B318" s="3"/>
      <c r="C318" s="2"/>
      <c r="D318" s="3"/>
      <c r="G318" s="8"/>
    </row>
    <row r="319">
      <c r="A319" s="3"/>
      <c r="B319" s="3"/>
      <c r="C319" s="2"/>
      <c r="D319" s="3"/>
      <c r="G319" s="8"/>
    </row>
    <row r="320">
      <c r="A320" s="3"/>
      <c r="B320" s="3"/>
      <c r="C320" s="2"/>
      <c r="D320" s="3"/>
      <c r="G320" s="8"/>
    </row>
    <row r="321">
      <c r="A321" s="3"/>
      <c r="B321" s="3"/>
      <c r="C321" s="2"/>
      <c r="D321" s="3"/>
      <c r="G321" s="8"/>
    </row>
    <row r="322">
      <c r="A322" s="3"/>
      <c r="B322" s="3"/>
      <c r="C322" s="2"/>
      <c r="D322" s="3"/>
      <c r="G322" s="8"/>
    </row>
    <row r="323">
      <c r="A323" s="3"/>
      <c r="B323" s="3"/>
      <c r="C323" s="2"/>
      <c r="D323" s="3"/>
      <c r="G323" s="8"/>
    </row>
    <row r="324">
      <c r="A324" s="3"/>
      <c r="B324" s="3"/>
      <c r="C324" s="2"/>
      <c r="D324" s="3"/>
      <c r="G324" s="8"/>
    </row>
    <row r="325">
      <c r="A325" s="3"/>
      <c r="B325" s="3"/>
      <c r="C325" s="2"/>
      <c r="D325" s="3"/>
      <c r="G325" s="8"/>
    </row>
    <row r="326">
      <c r="A326" s="3"/>
      <c r="B326" s="3"/>
      <c r="C326" s="2"/>
      <c r="D326" s="3"/>
      <c r="G326" s="8"/>
    </row>
    <row r="327">
      <c r="A327" s="3"/>
      <c r="B327" s="3"/>
      <c r="C327" s="2"/>
      <c r="D327" s="3"/>
      <c r="G327" s="8"/>
    </row>
    <row r="328">
      <c r="A328" s="3"/>
      <c r="B328" s="3"/>
      <c r="C328" s="2"/>
      <c r="D328" s="3"/>
      <c r="G328" s="8"/>
    </row>
    <row r="329">
      <c r="A329" s="3"/>
      <c r="B329" s="3"/>
      <c r="C329" s="2"/>
      <c r="D329" s="3"/>
      <c r="G329" s="8"/>
    </row>
    <row r="330">
      <c r="A330" s="3"/>
      <c r="B330" s="3"/>
      <c r="C330" s="2"/>
      <c r="D330" s="3"/>
      <c r="G330" s="8"/>
    </row>
    <row r="331">
      <c r="A331" s="3"/>
      <c r="B331" s="3"/>
      <c r="C331" s="2"/>
      <c r="D331" s="3"/>
      <c r="G331" s="8"/>
    </row>
    <row r="332">
      <c r="A332" s="3"/>
      <c r="B332" s="3"/>
      <c r="C332" s="2"/>
      <c r="D332" s="3"/>
      <c r="G332" s="8"/>
    </row>
    <row r="333">
      <c r="A333" s="3"/>
      <c r="B333" s="3"/>
      <c r="C333" s="2"/>
      <c r="D333" s="3"/>
      <c r="G333" s="8"/>
    </row>
    <row r="334">
      <c r="A334" s="3"/>
      <c r="B334" s="3"/>
      <c r="C334" s="2"/>
      <c r="D334" s="3"/>
      <c r="G334" s="8"/>
    </row>
    <row r="335">
      <c r="A335" s="3"/>
      <c r="B335" s="3"/>
      <c r="C335" s="2"/>
      <c r="D335" s="3"/>
      <c r="G335" s="8"/>
    </row>
    <row r="336">
      <c r="A336" s="3"/>
      <c r="B336" s="3"/>
      <c r="C336" s="2"/>
      <c r="D336" s="3"/>
      <c r="G336" s="8"/>
    </row>
    <row r="337">
      <c r="A337" s="3"/>
      <c r="B337" s="3"/>
      <c r="C337" s="2"/>
      <c r="D337" s="3"/>
      <c r="G337" s="8"/>
    </row>
    <row r="338">
      <c r="A338" s="3"/>
      <c r="B338" s="3"/>
      <c r="C338" s="2"/>
      <c r="D338" s="3"/>
      <c r="G338" s="8"/>
    </row>
    <row r="339">
      <c r="A339" s="3"/>
      <c r="B339" s="3"/>
      <c r="C339" s="2"/>
      <c r="D339" s="3"/>
      <c r="G339" s="8"/>
    </row>
    <row r="340">
      <c r="A340" s="3"/>
      <c r="B340" s="3"/>
      <c r="C340" s="2"/>
      <c r="D340" s="3"/>
      <c r="G340" s="8"/>
    </row>
    <row r="341">
      <c r="A341" s="3"/>
      <c r="B341" s="3"/>
      <c r="C341" s="2"/>
      <c r="D341" s="3"/>
      <c r="G341" s="8"/>
    </row>
    <row r="342">
      <c r="A342" s="3"/>
      <c r="B342" s="3"/>
      <c r="C342" s="2"/>
      <c r="D342" s="3"/>
      <c r="G342" s="8"/>
    </row>
    <row r="343">
      <c r="A343" s="3"/>
      <c r="B343" s="3"/>
      <c r="C343" s="2"/>
      <c r="D343" s="3"/>
      <c r="G343" s="8"/>
    </row>
    <row r="344">
      <c r="A344" s="3"/>
      <c r="B344" s="3"/>
      <c r="C344" s="2"/>
      <c r="D344" s="3"/>
      <c r="G344" s="8"/>
    </row>
    <row r="345">
      <c r="A345" s="3"/>
      <c r="B345" s="3"/>
      <c r="C345" s="2"/>
      <c r="D345" s="3"/>
      <c r="G345" s="8"/>
    </row>
    <row r="346">
      <c r="A346" s="3"/>
      <c r="B346" s="3"/>
      <c r="C346" s="2"/>
      <c r="D346" s="3"/>
      <c r="G346" s="8"/>
    </row>
    <row r="347">
      <c r="A347" s="3"/>
      <c r="B347" s="3"/>
      <c r="C347" s="2"/>
      <c r="D347" s="3"/>
      <c r="G347" s="8"/>
    </row>
    <row r="348">
      <c r="A348" s="3"/>
      <c r="B348" s="3"/>
      <c r="C348" s="2"/>
      <c r="D348" s="3"/>
      <c r="G348" s="8"/>
    </row>
    <row r="349">
      <c r="A349" s="3"/>
      <c r="B349" s="3"/>
      <c r="C349" s="2"/>
      <c r="D349" s="3"/>
      <c r="G349" s="8"/>
    </row>
    <row r="350">
      <c r="A350" s="3"/>
      <c r="B350" s="3"/>
      <c r="C350" s="2"/>
      <c r="D350" s="3"/>
      <c r="G350" s="8"/>
    </row>
    <row r="351">
      <c r="A351" s="3"/>
      <c r="B351" s="3"/>
      <c r="C351" s="2"/>
      <c r="D351" s="3"/>
      <c r="G351" s="8"/>
    </row>
    <row r="352">
      <c r="A352" s="3"/>
      <c r="B352" s="3"/>
      <c r="C352" s="2"/>
      <c r="D352" s="3"/>
      <c r="G352" s="8"/>
    </row>
    <row r="353">
      <c r="A353" s="3"/>
      <c r="B353" s="3"/>
      <c r="C353" s="2"/>
      <c r="D353" s="3"/>
      <c r="G353" s="8"/>
    </row>
    <row r="354">
      <c r="A354" s="3"/>
      <c r="B354" s="3"/>
      <c r="C354" s="2"/>
      <c r="D354" s="3"/>
      <c r="G354" s="8"/>
    </row>
    <row r="355">
      <c r="A355" s="3"/>
      <c r="B355" s="3"/>
      <c r="C355" s="2"/>
      <c r="D355" s="3"/>
      <c r="G355" s="8"/>
    </row>
    <row r="356">
      <c r="A356" s="3"/>
      <c r="B356" s="3"/>
      <c r="C356" s="2"/>
      <c r="D356" s="3"/>
      <c r="G356" s="8"/>
    </row>
    <row r="357">
      <c r="A357" s="3"/>
      <c r="B357" s="3"/>
      <c r="C357" s="2"/>
      <c r="D357" s="3"/>
      <c r="G357" s="8"/>
    </row>
    <row r="358">
      <c r="A358" s="3"/>
      <c r="B358" s="3"/>
      <c r="C358" s="2"/>
      <c r="D358" s="3"/>
      <c r="G358" s="8"/>
    </row>
    <row r="359">
      <c r="A359" s="3"/>
      <c r="B359" s="3"/>
      <c r="C359" s="2"/>
      <c r="D359" s="3"/>
      <c r="G359" s="8"/>
    </row>
    <row r="360">
      <c r="A360" s="3"/>
      <c r="B360" s="3"/>
      <c r="C360" s="2"/>
      <c r="D360" s="3"/>
      <c r="G360" s="8"/>
    </row>
    <row r="361">
      <c r="A361" s="3"/>
      <c r="B361" s="3"/>
      <c r="C361" s="2"/>
      <c r="D361" s="3"/>
      <c r="G361" s="8"/>
    </row>
    <row r="362">
      <c r="A362" s="3"/>
      <c r="B362" s="3"/>
      <c r="C362" s="2"/>
      <c r="D362" s="3"/>
      <c r="G362" s="8"/>
    </row>
    <row r="363">
      <c r="A363" s="3"/>
      <c r="B363" s="3"/>
      <c r="C363" s="2"/>
      <c r="D363" s="3"/>
      <c r="G363" s="8"/>
    </row>
    <row r="364">
      <c r="A364" s="3"/>
      <c r="B364" s="3"/>
      <c r="C364" s="2"/>
      <c r="D364" s="3"/>
      <c r="G364" s="8"/>
    </row>
    <row r="365">
      <c r="A365" s="3"/>
      <c r="B365" s="3"/>
      <c r="C365" s="2"/>
      <c r="D365" s="3"/>
      <c r="G365" s="8"/>
    </row>
    <row r="366">
      <c r="A366" s="3"/>
      <c r="B366" s="3"/>
      <c r="C366" s="2"/>
      <c r="D366" s="3"/>
      <c r="G366" s="8"/>
    </row>
    <row r="367">
      <c r="A367" s="3"/>
      <c r="B367" s="3"/>
      <c r="C367" s="2"/>
      <c r="D367" s="3"/>
      <c r="G367" s="8"/>
    </row>
    <row r="368">
      <c r="A368" s="3"/>
      <c r="B368" s="3"/>
      <c r="C368" s="2"/>
      <c r="D368" s="3"/>
      <c r="G368" s="8"/>
    </row>
    <row r="369">
      <c r="A369" s="3"/>
      <c r="B369" s="3"/>
      <c r="C369" s="2"/>
      <c r="D369" s="3"/>
      <c r="G369" s="8"/>
    </row>
    <row r="370">
      <c r="A370" s="3"/>
      <c r="B370" s="3"/>
      <c r="C370" s="2"/>
      <c r="D370" s="3"/>
      <c r="G370" s="8"/>
    </row>
    <row r="371">
      <c r="A371" s="3"/>
      <c r="B371" s="3"/>
      <c r="C371" s="2"/>
      <c r="D371" s="3"/>
      <c r="G371" s="8"/>
    </row>
    <row r="372">
      <c r="A372" s="3"/>
      <c r="B372" s="3"/>
      <c r="C372" s="2"/>
      <c r="D372" s="3"/>
      <c r="G372" s="8"/>
    </row>
    <row r="373">
      <c r="A373" s="3"/>
      <c r="B373" s="3"/>
      <c r="C373" s="2"/>
      <c r="D373" s="3"/>
      <c r="G373" s="8"/>
    </row>
    <row r="374">
      <c r="A374" s="3"/>
      <c r="B374" s="3"/>
      <c r="C374" s="2"/>
      <c r="D374" s="3"/>
      <c r="G374" s="8"/>
    </row>
    <row r="375">
      <c r="A375" s="3"/>
      <c r="B375" s="3"/>
      <c r="C375" s="2"/>
      <c r="D375" s="3"/>
      <c r="G375" s="8"/>
    </row>
    <row r="376">
      <c r="A376" s="3"/>
      <c r="B376" s="3"/>
      <c r="C376" s="2"/>
      <c r="D376" s="3"/>
      <c r="G376" s="8"/>
    </row>
    <row r="377">
      <c r="A377" s="3"/>
      <c r="B377" s="3"/>
      <c r="C377" s="2"/>
      <c r="D377" s="3"/>
      <c r="G377" s="8"/>
    </row>
    <row r="378">
      <c r="A378" s="3"/>
      <c r="B378" s="3"/>
      <c r="C378" s="2"/>
      <c r="D378" s="3"/>
      <c r="G378" s="8"/>
    </row>
    <row r="379">
      <c r="A379" s="3"/>
      <c r="B379" s="3"/>
      <c r="C379" s="2"/>
      <c r="D379" s="3"/>
      <c r="G379" s="8"/>
    </row>
    <row r="380">
      <c r="A380" s="3"/>
      <c r="B380" s="3"/>
      <c r="C380" s="2"/>
      <c r="D380" s="3"/>
      <c r="G380" s="8"/>
    </row>
    <row r="381">
      <c r="A381" s="3"/>
      <c r="B381" s="3"/>
      <c r="C381" s="2"/>
      <c r="D381" s="3"/>
      <c r="G381" s="8"/>
    </row>
    <row r="382">
      <c r="A382" s="3"/>
      <c r="B382" s="3"/>
      <c r="C382" s="2"/>
      <c r="D382" s="3"/>
      <c r="G382" s="8"/>
    </row>
    <row r="383">
      <c r="A383" s="3"/>
      <c r="B383" s="3"/>
      <c r="C383" s="2"/>
      <c r="D383" s="3"/>
      <c r="G383" s="8"/>
    </row>
    <row r="384">
      <c r="A384" s="3"/>
      <c r="B384" s="3"/>
      <c r="C384" s="2"/>
      <c r="D384" s="3"/>
      <c r="G384" s="8"/>
    </row>
    <row r="385">
      <c r="A385" s="3"/>
      <c r="B385" s="3"/>
      <c r="C385" s="2"/>
      <c r="D385" s="3"/>
      <c r="G385" s="8"/>
    </row>
    <row r="386">
      <c r="A386" s="3"/>
      <c r="B386" s="3"/>
      <c r="C386" s="2"/>
      <c r="D386" s="3"/>
      <c r="G386" s="8"/>
    </row>
    <row r="387">
      <c r="A387" s="3"/>
      <c r="B387" s="3"/>
      <c r="C387" s="2"/>
      <c r="D387" s="3"/>
      <c r="G387" s="8"/>
    </row>
    <row r="388">
      <c r="A388" s="3"/>
      <c r="B388" s="3"/>
      <c r="C388" s="2"/>
      <c r="D388" s="3"/>
      <c r="G388" s="8"/>
    </row>
    <row r="389">
      <c r="A389" s="3"/>
      <c r="B389" s="3"/>
      <c r="C389" s="2"/>
      <c r="D389" s="3"/>
      <c r="G389" s="8"/>
    </row>
    <row r="390">
      <c r="A390" s="3"/>
      <c r="B390" s="3"/>
      <c r="C390" s="2"/>
      <c r="D390" s="3"/>
      <c r="G390" s="8"/>
    </row>
    <row r="391">
      <c r="A391" s="3"/>
      <c r="B391" s="3"/>
      <c r="C391" s="2"/>
      <c r="D391" s="3"/>
      <c r="G391" s="8"/>
    </row>
    <row r="392">
      <c r="A392" s="3"/>
      <c r="B392" s="3"/>
      <c r="C392" s="2"/>
      <c r="D392" s="3"/>
      <c r="G392" s="8"/>
    </row>
    <row r="393">
      <c r="A393" s="3"/>
      <c r="B393" s="3"/>
      <c r="C393" s="2"/>
      <c r="D393" s="3"/>
      <c r="G393" s="8"/>
    </row>
    <row r="394">
      <c r="A394" s="3"/>
      <c r="B394" s="3"/>
      <c r="C394" s="2"/>
      <c r="D394" s="3"/>
      <c r="G394" s="8"/>
    </row>
    <row r="395">
      <c r="A395" s="3"/>
      <c r="B395" s="3"/>
      <c r="C395" s="2"/>
      <c r="D395" s="3"/>
      <c r="G395" s="8"/>
    </row>
    <row r="396">
      <c r="A396" s="3"/>
      <c r="B396" s="3"/>
      <c r="C396" s="2"/>
      <c r="D396" s="3"/>
      <c r="G396" s="8"/>
    </row>
    <row r="397">
      <c r="A397" s="3"/>
      <c r="B397" s="3"/>
      <c r="C397" s="2"/>
      <c r="D397" s="3"/>
      <c r="G397" s="8"/>
    </row>
    <row r="398">
      <c r="A398" s="3"/>
      <c r="B398" s="3"/>
      <c r="C398" s="2"/>
      <c r="D398" s="3"/>
      <c r="G398" s="8"/>
    </row>
    <row r="399">
      <c r="A399" s="3"/>
      <c r="B399" s="3"/>
      <c r="C399" s="2"/>
      <c r="D399" s="3"/>
      <c r="G399" s="8"/>
    </row>
    <row r="400">
      <c r="A400" s="3"/>
      <c r="B400" s="3"/>
      <c r="C400" s="2"/>
      <c r="D400" s="3"/>
      <c r="G400" s="8"/>
    </row>
    <row r="401">
      <c r="A401" s="3"/>
      <c r="B401" s="3"/>
      <c r="C401" s="2"/>
      <c r="D401" s="3"/>
      <c r="G401" s="8"/>
    </row>
    <row r="402">
      <c r="A402" s="3"/>
      <c r="B402" s="3"/>
      <c r="C402" s="2"/>
      <c r="D402" s="3"/>
      <c r="G402" s="8"/>
    </row>
    <row r="403">
      <c r="A403" s="3"/>
      <c r="B403" s="3"/>
      <c r="C403" s="2"/>
      <c r="D403" s="3"/>
      <c r="G403" s="8"/>
    </row>
    <row r="404">
      <c r="A404" s="3"/>
      <c r="B404" s="3"/>
      <c r="C404" s="2"/>
      <c r="D404" s="3"/>
      <c r="G404" s="8"/>
    </row>
    <row r="405">
      <c r="A405" s="3"/>
      <c r="B405" s="3"/>
      <c r="C405" s="2"/>
      <c r="D405" s="3"/>
      <c r="G405" s="8"/>
    </row>
    <row r="406">
      <c r="A406" s="3"/>
      <c r="B406" s="3"/>
      <c r="C406" s="2"/>
      <c r="D406" s="3"/>
      <c r="G406" s="8"/>
    </row>
    <row r="407">
      <c r="A407" s="3"/>
      <c r="B407" s="3"/>
      <c r="C407" s="2"/>
      <c r="D407" s="3"/>
      <c r="G407" s="8"/>
    </row>
    <row r="408">
      <c r="A408" s="3"/>
      <c r="B408" s="3"/>
      <c r="C408" s="2"/>
      <c r="D408" s="3"/>
      <c r="G408" s="8"/>
    </row>
    <row r="409">
      <c r="A409" s="3"/>
      <c r="B409" s="3"/>
      <c r="C409" s="2"/>
      <c r="D409" s="3"/>
      <c r="G409" s="8"/>
    </row>
    <row r="410">
      <c r="A410" s="3"/>
      <c r="B410" s="3"/>
      <c r="C410" s="2"/>
      <c r="D410" s="3"/>
      <c r="G410" s="8"/>
    </row>
    <row r="411">
      <c r="A411" s="3"/>
      <c r="B411" s="3"/>
      <c r="C411" s="2"/>
      <c r="D411" s="3"/>
      <c r="G411" s="8"/>
    </row>
    <row r="412">
      <c r="A412" s="3"/>
      <c r="B412" s="3"/>
      <c r="C412" s="2"/>
      <c r="D412" s="3"/>
      <c r="G412" s="8"/>
    </row>
    <row r="413">
      <c r="A413" s="3"/>
      <c r="B413" s="3"/>
      <c r="C413" s="2"/>
      <c r="D413" s="3"/>
      <c r="G413" s="8"/>
    </row>
    <row r="414">
      <c r="A414" s="3"/>
      <c r="B414" s="3"/>
      <c r="C414" s="2"/>
      <c r="D414" s="3"/>
      <c r="G414" s="8"/>
    </row>
    <row r="415">
      <c r="A415" s="3"/>
      <c r="B415" s="3"/>
      <c r="C415" s="2"/>
      <c r="D415" s="3"/>
      <c r="G415" s="8"/>
    </row>
    <row r="416">
      <c r="A416" s="3"/>
      <c r="B416" s="3"/>
      <c r="C416" s="2"/>
      <c r="D416" s="3"/>
      <c r="G416" s="8"/>
    </row>
    <row r="417">
      <c r="A417" s="3"/>
      <c r="B417" s="3"/>
      <c r="C417" s="2"/>
      <c r="D417" s="3"/>
      <c r="G417" s="8"/>
    </row>
    <row r="418">
      <c r="A418" s="3"/>
      <c r="B418" s="3"/>
      <c r="C418" s="2"/>
      <c r="D418" s="3"/>
      <c r="G418" s="8"/>
    </row>
    <row r="419">
      <c r="A419" s="3"/>
      <c r="B419" s="3"/>
      <c r="C419" s="2"/>
      <c r="D419" s="3"/>
      <c r="G419" s="8"/>
    </row>
    <row r="420">
      <c r="A420" s="3"/>
      <c r="B420" s="3"/>
      <c r="C420" s="2"/>
      <c r="D420" s="3"/>
      <c r="G420" s="8"/>
    </row>
    <row r="421">
      <c r="A421" s="3"/>
      <c r="B421" s="3"/>
      <c r="C421" s="2"/>
      <c r="D421" s="3"/>
      <c r="G421" s="8"/>
    </row>
    <row r="422">
      <c r="A422" s="3"/>
      <c r="B422" s="3"/>
      <c r="C422" s="2"/>
      <c r="D422" s="3"/>
      <c r="G422" s="8"/>
    </row>
    <row r="423">
      <c r="A423" s="3"/>
      <c r="B423" s="3"/>
      <c r="C423" s="2"/>
      <c r="D423" s="3"/>
      <c r="G423" s="8"/>
    </row>
    <row r="424">
      <c r="A424" s="3"/>
      <c r="B424" s="3"/>
      <c r="C424" s="2"/>
      <c r="D424" s="3"/>
      <c r="G424" s="8"/>
    </row>
    <row r="425">
      <c r="A425" s="3"/>
      <c r="B425" s="3"/>
      <c r="C425" s="2"/>
      <c r="D425" s="3"/>
      <c r="G425" s="8"/>
    </row>
    <row r="426">
      <c r="A426" s="3"/>
      <c r="B426" s="3"/>
      <c r="C426" s="2"/>
      <c r="D426" s="3"/>
      <c r="G426" s="8"/>
    </row>
    <row r="427">
      <c r="A427" s="3"/>
      <c r="B427" s="3"/>
      <c r="C427" s="2"/>
      <c r="D427" s="3"/>
      <c r="G427" s="8"/>
    </row>
    <row r="428">
      <c r="A428" s="3"/>
      <c r="B428" s="3"/>
      <c r="C428" s="2"/>
      <c r="D428" s="3"/>
      <c r="G428" s="8"/>
    </row>
    <row r="429">
      <c r="A429" s="3"/>
      <c r="B429" s="3"/>
      <c r="C429" s="2"/>
      <c r="D429" s="3"/>
      <c r="G429" s="8"/>
    </row>
    <row r="430">
      <c r="A430" s="3"/>
      <c r="B430" s="3"/>
      <c r="C430" s="2"/>
      <c r="D430" s="3"/>
      <c r="G430" s="8"/>
    </row>
    <row r="431">
      <c r="A431" s="3"/>
      <c r="B431" s="3"/>
      <c r="C431" s="2"/>
      <c r="D431" s="3"/>
      <c r="G431" s="8"/>
    </row>
    <row r="432">
      <c r="A432" s="3"/>
      <c r="B432" s="3"/>
      <c r="C432" s="2"/>
      <c r="D432" s="3"/>
      <c r="G432" s="8"/>
    </row>
    <row r="433">
      <c r="A433" s="3"/>
      <c r="B433" s="3"/>
      <c r="C433" s="2"/>
      <c r="D433" s="3"/>
      <c r="G433" s="8"/>
    </row>
    <row r="434">
      <c r="A434" s="3"/>
      <c r="B434" s="3"/>
      <c r="C434" s="2"/>
      <c r="D434" s="3"/>
      <c r="G434" s="8"/>
    </row>
    <row r="435">
      <c r="A435" s="3"/>
      <c r="B435" s="3"/>
      <c r="C435" s="2"/>
      <c r="D435" s="3"/>
      <c r="G435" s="8"/>
    </row>
    <row r="436">
      <c r="A436" s="3"/>
      <c r="B436" s="3"/>
      <c r="C436" s="2"/>
      <c r="D436" s="3"/>
      <c r="G436" s="8"/>
    </row>
    <row r="437">
      <c r="A437" s="3"/>
      <c r="B437" s="3"/>
      <c r="C437" s="2"/>
      <c r="D437" s="3"/>
      <c r="G437" s="8"/>
    </row>
    <row r="438">
      <c r="A438" s="3"/>
      <c r="B438" s="3"/>
      <c r="C438" s="2"/>
      <c r="D438" s="3"/>
      <c r="G438" s="8"/>
    </row>
    <row r="439">
      <c r="A439" s="3"/>
      <c r="B439" s="3"/>
      <c r="C439" s="2"/>
      <c r="D439" s="3"/>
      <c r="G439" s="8"/>
    </row>
    <row r="440">
      <c r="A440" s="3"/>
      <c r="B440" s="3"/>
      <c r="C440" s="2"/>
      <c r="D440" s="3"/>
      <c r="G440" s="8"/>
    </row>
    <row r="441">
      <c r="A441" s="3"/>
      <c r="B441" s="3"/>
      <c r="C441" s="2"/>
      <c r="D441" s="3"/>
      <c r="G441" s="8"/>
    </row>
    <row r="442">
      <c r="A442" s="3"/>
      <c r="B442" s="3"/>
      <c r="C442" s="2"/>
      <c r="D442" s="3"/>
      <c r="G442" s="8"/>
    </row>
    <row r="443">
      <c r="A443" s="3"/>
      <c r="B443" s="3"/>
      <c r="C443" s="2"/>
      <c r="D443" s="3"/>
      <c r="G443" s="8"/>
    </row>
    <row r="444">
      <c r="A444" s="3"/>
      <c r="B444" s="3"/>
      <c r="C444" s="2"/>
      <c r="D444" s="3"/>
      <c r="G444" s="8"/>
    </row>
    <row r="445">
      <c r="A445" s="3"/>
      <c r="B445" s="3"/>
      <c r="C445" s="2"/>
      <c r="D445" s="3"/>
      <c r="G445" s="8"/>
    </row>
    <row r="446">
      <c r="A446" s="3"/>
      <c r="B446" s="3"/>
      <c r="C446" s="2"/>
      <c r="D446" s="3"/>
      <c r="G446" s="8"/>
    </row>
    <row r="447">
      <c r="A447" s="3"/>
      <c r="B447" s="3"/>
      <c r="C447" s="2"/>
      <c r="D447" s="3"/>
      <c r="G447" s="8"/>
    </row>
    <row r="448">
      <c r="A448" s="3"/>
      <c r="B448" s="3"/>
      <c r="C448" s="2"/>
      <c r="D448" s="3"/>
      <c r="G448" s="8"/>
    </row>
    <row r="449">
      <c r="A449" s="3"/>
      <c r="B449" s="3"/>
      <c r="C449" s="2"/>
      <c r="D449" s="3"/>
      <c r="G449" s="8"/>
    </row>
    <row r="450">
      <c r="A450" s="3"/>
      <c r="B450" s="3"/>
      <c r="C450" s="2"/>
      <c r="D450" s="3"/>
      <c r="G450" s="8"/>
    </row>
    <row r="451">
      <c r="A451" s="3"/>
      <c r="B451" s="3"/>
      <c r="C451" s="2"/>
      <c r="D451" s="3"/>
      <c r="G451" s="8"/>
    </row>
    <row r="452">
      <c r="A452" s="3"/>
      <c r="B452" s="3"/>
      <c r="C452" s="2"/>
      <c r="D452" s="3"/>
      <c r="G452" s="8"/>
    </row>
    <row r="453">
      <c r="A453" s="3"/>
      <c r="B453" s="3"/>
      <c r="C453" s="2"/>
      <c r="D453" s="3"/>
      <c r="G453" s="8"/>
    </row>
    <row r="454">
      <c r="A454" s="3"/>
      <c r="B454" s="3"/>
      <c r="C454" s="2"/>
      <c r="D454" s="3"/>
      <c r="G454" s="8"/>
    </row>
    <row r="455">
      <c r="A455" s="3"/>
      <c r="B455" s="3"/>
      <c r="C455" s="2"/>
      <c r="D455" s="3"/>
      <c r="G455" s="8"/>
    </row>
    <row r="456">
      <c r="A456" s="3"/>
      <c r="B456" s="3"/>
      <c r="C456" s="2"/>
      <c r="D456" s="3"/>
      <c r="G456" s="8"/>
    </row>
    <row r="457">
      <c r="A457" s="3"/>
      <c r="B457" s="3"/>
      <c r="C457" s="2"/>
      <c r="D457" s="3"/>
      <c r="G457" s="8"/>
    </row>
    <row r="458">
      <c r="A458" s="3"/>
      <c r="B458" s="3"/>
      <c r="C458" s="2"/>
      <c r="D458" s="3"/>
      <c r="G458" s="8"/>
    </row>
    <row r="459">
      <c r="A459" s="3"/>
      <c r="B459" s="3"/>
      <c r="C459" s="2"/>
      <c r="D459" s="3"/>
      <c r="G459" s="8"/>
    </row>
    <row r="460">
      <c r="A460" s="3"/>
      <c r="B460" s="3"/>
      <c r="C460" s="2"/>
      <c r="D460" s="3"/>
      <c r="G460" s="8"/>
    </row>
    <row r="461">
      <c r="A461" s="3"/>
      <c r="B461" s="3"/>
      <c r="C461" s="2"/>
      <c r="D461" s="3"/>
      <c r="G461" s="8"/>
    </row>
    <row r="462">
      <c r="A462" s="3"/>
      <c r="B462" s="3"/>
      <c r="C462" s="2"/>
      <c r="D462" s="3"/>
      <c r="G462" s="8"/>
    </row>
    <row r="463">
      <c r="A463" s="3"/>
      <c r="B463" s="3"/>
      <c r="C463" s="2"/>
      <c r="D463" s="3"/>
      <c r="G463" s="8"/>
    </row>
    <row r="464">
      <c r="A464" s="3"/>
      <c r="B464" s="3"/>
      <c r="C464" s="2"/>
      <c r="D464" s="3"/>
      <c r="G464" s="8"/>
    </row>
    <row r="465">
      <c r="A465" s="3"/>
      <c r="B465" s="3"/>
      <c r="C465" s="2"/>
      <c r="D465" s="3"/>
      <c r="G465" s="8"/>
    </row>
    <row r="466">
      <c r="A466" s="3"/>
      <c r="B466" s="3"/>
      <c r="C466" s="2"/>
      <c r="D466" s="3"/>
      <c r="G466" s="8"/>
    </row>
    <row r="467">
      <c r="A467" s="3"/>
      <c r="B467" s="3"/>
      <c r="C467" s="2"/>
      <c r="D467" s="3"/>
      <c r="G467" s="8"/>
    </row>
    <row r="468">
      <c r="A468" s="3"/>
      <c r="B468" s="3"/>
      <c r="C468" s="2"/>
      <c r="D468" s="3"/>
      <c r="G468" s="8"/>
    </row>
    <row r="469">
      <c r="A469" s="3"/>
      <c r="B469" s="3"/>
      <c r="C469" s="2"/>
      <c r="D469" s="3"/>
      <c r="G469" s="8"/>
    </row>
    <row r="470">
      <c r="A470" s="3"/>
      <c r="B470" s="3"/>
      <c r="C470" s="2"/>
      <c r="D470" s="3"/>
      <c r="G470" s="8"/>
    </row>
    <row r="471">
      <c r="A471" s="3"/>
      <c r="B471" s="3"/>
      <c r="C471" s="2"/>
      <c r="D471" s="3"/>
      <c r="G471" s="8"/>
    </row>
    <row r="472">
      <c r="A472" s="3"/>
      <c r="B472" s="3"/>
      <c r="C472" s="2"/>
      <c r="D472" s="3"/>
      <c r="G472" s="8"/>
    </row>
    <row r="473">
      <c r="A473" s="3"/>
      <c r="B473" s="3"/>
      <c r="C473" s="2"/>
      <c r="D473" s="3"/>
      <c r="G473" s="8"/>
    </row>
    <row r="474">
      <c r="A474" s="3"/>
      <c r="B474" s="3"/>
      <c r="C474" s="2"/>
      <c r="D474" s="3"/>
      <c r="G474" s="8"/>
    </row>
    <row r="475">
      <c r="A475" s="3"/>
      <c r="B475" s="3"/>
      <c r="C475" s="2"/>
      <c r="D475" s="3"/>
      <c r="G475" s="8"/>
    </row>
    <row r="476">
      <c r="A476" s="3"/>
      <c r="B476" s="3"/>
      <c r="C476" s="2"/>
      <c r="D476" s="3"/>
      <c r="G476" s="8"/>
    </row>
    <row r="477">
      <c r="A477" s="3"/>
      <c r="B477" s="3"/>
      <c r="C477" s="2"/>
      <c r="D477" s="3"/>
      <c r="G477" s="8"/>
    </row>
    <row r="478">
      <c r="A478" s="3"/>
      <c r="B478" s="3"/>
      <c r="C478" s="2"/>
      <c r="D478" s="3"/>
      <c r="G478" s="8"/>
    </row>
    <row r="479">
      <c r="A479" s="3"/>
      <c r="B479" s="3"/>
      <c r="C479" s="2"/>
      <c r="D479" s="3"/>
      <c r="G479" s="8"/>
    </row>
    <row r="480">
      <c r="A480" s="3"/>
      <c r="B480" s="3"/>
      <c r="C480" s="2"/>
      <c r="D480" s="3"/>
      <c r="G480" s="8"/>
    </row>
    <row r="481">
      <c r="A481" s="3"/>
      <c r="B481" s="3"/>
      <c r="C481" s="2"/>
      <c r="D481" s="3"/>
      <c r="G481" s="8"/>
    </row>
    <row r="482">
      <c r="A482" s="3"/>
      <c r="B482" s="3"/>
      <c r="C482" s="2"/>
      <c r="D482" s="3"/>
      <c r="G482" s="8"/>
    </row>
    <row r="483">
      <c r="A483" s="3"/>
      <c r="B483" s="3"/>
      <c r="C483" s="2"/>
      <c r="D483" s="3"/>
      <c r="G483" s="8"/>
    </row>
    <row r="484">
      <c r="A484" s="3"/>
      <c r="B484" s="3"/>
      <c r="C484" s="2"/>
      <c r="D484" s="3"/>
      <c r="G484" s="8"/>
    </row>
    <row r="485">
      <c r="A485" s="3"/>
      <c r="B485" s="3"/>
      <c r="C485" s="2"/>
      <c r="D485" s="3"/>
      <c r="G485" s="8"/>
    </row>
    <row r="486">
      <c r="A486" s="3"/>
      <c r="B486" s="3"/>
      <c r="C486" s="2"/>
      <c r="D486" s="3"/>
      <c r="G486" s="8"/>
    </row>
    <row r="487">
      <c r="A487" s="3"/>
      <c r="B487" s="3"/>
      <c r="C487" s="2"/>
      <c r="D487" s="3"/>
      <c r="G487" s="8"/>
    </row>
    <row r="488">
      <c r="A488" s="3"/>
      <c r="B488" s="3"/>
      <c r="C488" s="2"/>
      <c r="D488" s="3"/>
      <c r="G488" s="8"/>
    </row>
    <row r="489">
      <c r="A489" s="3"/>
      <c r="B489" s="3"/>
      <c r="C489" s="2"/>
      <c r="D489" s="3"/>
      <c r="G489" s="8"/>
    </row>
    <row r="490">
      <c r="A490" s="3"/>
      <c r="B490" s="3"/>
      <c r="C490" s="2"/>
      <c r="D490" s="3"/>
      <c r="G490" s="8"/>
    </row>
    <row r="491">
      <c r="A491" s="3"/>
      <c r="B491" s="3"/>
      <c r="C491" s="2"/>
      <c r="D491" s="3"/>
      <c r="G491" s="8"/>
    </row>
    <row r="492">
      <c r="A492" s="3"/>
      <c r="B492" s="3"/>
      <c r="C492" s="2"/>
      <c r="D492" s="3"/>
      <c r="G492" s="8"/>
    </row>
    <row r="493">
      <c r="A493" s="3"/>
      <c r="B493" s="3"/>
      <c r="C493" s="2"/>
      <c r="D493" s="3"/>
      <c r="G493" s="8"/>
    </row>
    <row r="494">
      <c r="A494" s="3"/>
      <c r="B494" s="3"/>
      <c r="C494" s="2"/>
      <c r="D494" s="3"/>
      <c r="G494" s="8"/>
    </row>
    <row r="495">
      <c r="A495" s="3"/>
      <c r="B495" s="3"/>
      <c r="C495" s="2"/>
      <c r="D495" s="3"/>
      <c r="G495" s="8"/>
    </row>
    <row r="496">
      <c r="A496" s="3"/>
      <c r="B496" s="3"/>
      <c r="C496" s="2"/>
      <c r="D496" s="3"/>
      <c r="G496" s="8"/>
    </row>
    <row r="497">
      <c r="A497" s="3"/>
      <c r="B497" s="3"/>
      <c r="C497" s="2"/>
      <c r="D497" s="3"/>
      <c r="G497" s="8"/>
    </row>
    <row r="498">
      <c r="A498" s="3"/>
      <c r="B498" s="3"/>
      <c r="C498" s="2"/>
      <c r="D498" s="3"/>
      <c r="G498" s="8"/>
    </row>
    <row r="499">
      <c r="A499" s="3"/>
      <c r="B499" s="3"/>
      <c r="C499" s="2"/>
      <c r="D499" s="3"/>
      <c r="G499" s="8"/>
    </row>
    <row r="500">
      <c r="A500" s="3"/>
      <c r="B500" s="3"/>
      <c r="C500" s="2"/>
      <c r="D500" s="3"/>
      <c r="G500" s="8"/>
    </row>
    <row r="501">
      <c r="A501" s="3"/>
      <c r="B501" s="3"/>
      <c r="C501" s="2"/>
      <c r="D501" s="3"/>
      <c r="G501" s="8"/>
    </row>
    <row r="502">
      <c r="A502" s="3"/>
      <c r="B502" s="3"/>
      <c r="C502" s="2"/>
      <c r="D502" s="3"/>
      <c r="G502" s="8"/>
    </row>
    <row r="503">
      <c r="A503" s="3"/>
      <c r="B503" s="3"/>
      <c r="C503" s="2"/>
      <c r="D503" s="3"/>
      <c r="G503" s="8"/>
    </row>
    <row r="504">
      <c r="A504" s="3"/>
      <c r="B504" s="3"/>
      <c r="C504" s="2"/>
      <c r="D504" s="3"/>
      <c r="G504" s="8"/>
    </row>
    <row r="505">
      <c r="A505" s="3"/>
      <c r="B505" s="3"/>
      <c r="C505" s="2"/>
      <c r="D505" s="3"/>
      <c r="G505" s="8"/>
    </row>
    <row r="506">
      <c r="A506" s="3"/>
      <c r="B506" s="3"/>
      <c r="C506" s="2"/>
      <c r="D506" s="3"/>
      <c r="G506" s="8"/>
    </row>
    <row r="507">
      <c r="A507" s="3"/>
      <c r="B507" s="3"/>
      <c r="C507" s="2"/>
      <c r="D507" s="3"/>
      <c r="G507" s="8"/>
    </row>
    <row r="508">
      <c r="A508" s="3"/>
      <c r="B508" s="3"/>
      <c r="C508" s="2"/>
      <c r="D508" s="3"/>
      <c r="G508" s="8"/>
    </row>
    <row r="509">
      <c r="A509" s="3"/>
      <c r="B509" s="3"/>
      <c r="C509" s="2"/>
      <c r="D509" s="3"/>
      <c r="G509" s="8"/>
    </row>
    <row r="510">
      <c r="A510" s="3"/>
      <c r="B510" s="3"/>
      <c r="C510" s="2"/>
      <c r="D510" s="3"/>
      <c r="G510" s="8"/>
    </row>
    <row r="511">
      <c r="A511" s="3"/>
      <c r="B511" s="3"/>
      <c r="C511" s="2"/>
      <c r="D511" s="3"/>
      <c r="G511" s="8"/>
    </row>
    <row r="512">
      <c r="A512" s="3"/>
      <c r="B512" s="3"/>
      <c r="C512" s="2"/>
      <c r="D512" s="3"/>
      <c r="G512" s="8"/>
    </row>
    <row r="513">
      <c r="A513" s="3"/>
      <c r="B513" s="3"/>
      <c r="C513" s="2"/>
      <c r="D513" s="3"/>
      <c r="G513" s="8"/>
    </row>
    <row r="514">
      <c r="A514" s="3"/>
      <c r="B514" s="3"/>
      <c r="C514" s="2"/>
      <c r="D514" s="3"/>
      <c r="G514" s="8"/>
    </row>
    <row r="515">
      <c r="A515" s="3"/>
      <c r="B515" s="3"/>
      <c r="C515" s="2"/>
      <c r="D515" s="3"/>
      <c r="G515" s="8"/>
    </row>
    <row r="516">
      <c r="A516" s="3"/>
      <c r="B516" s="3"/>
      <c r="C516" s="2"/>
      <c r="D516" s="3"/>
      <c r="G516" s="8"/>
    </row>
    <row r="517">
      <c r="A517" s="3"/>
      <c r="B517" s="3"/>
      <c r="C517" s="2"/>
      <c r="D517" s="3"/>
      <c r="G517" s="8"/>
    </row>
    <row r="518">
      <c r="A518" s="3"/>
      <c r="B518" s="3"/>
      <c r="C518" s="2"/>
      <c r="D518" s="3"/>
      <c r="G518" s="8"/>
    </row>
    <row r="519">
      <c r="A519" s="3"/>
      <c r="B519" s="3"/>
      <c r="C519" s="2"/>
      <c r="D519" s="3"/>
      <c r="G519" s="8"/>
    </row>
    <row r="520">
      <c r="A520" s="3"/>
      <c r="B520" s="3"/>
      <c r="C520" s="2"/>
      <c r="D520" s="3"/>
      <c r="G520" s="8"/>
    </row>
    <row r="521">
      <c r="A521" s="3"/>
      <c r="B521" s="3"/>
      <c r="C521" s="2"/>
      <c r="D521" s="3"/>
      <c r="G521" s="8"/>
    </row>
    <row r="522">
      <c r="A522" s="3"/>
      <c r="B522" s="3"/>
      <c r="C522" s="2"/>
      <c r="D522" s="3"/>
      <c r="G522" s="8"/>
    </row>
    <row r="523">
      <c r="A523" s="3"/>
      <c r="B523" s="3"/>
      <c r="C523" s="2"/>
      <c r="D523" s="3"/>
      <c r="G523" s="8"/>
    </row>
    <row r="524">
      <c r="A524" s="3"/>
      <c r="B524" s="3"/>
      <c r="C524" s="2"/>
      <c r="D524" s="3"/>
      <c r="G524" s="8"/>
    </row>
    <row r="525">
      <c r="A525" s="3"/>
      <c r="B525" s="3"/>
      <c r="C525" s="2"/>
      <c r="D525" s="3"/>
      <c r="G525" s="8"/>
    </row>
    <row r="526">
      <c r="A526" s="3"/>
      <c r="B526" s="3"/>
      <c r="C526" s="2"/>
      <c r="D526" s="3"/>
      <c r="G526" s="8"/>
    </row>
    <row r="527">
      <c r="A527" s="3"/>
      <c r="B527" s="3"/>
      <c r="C527" s="2"/>
      <c r="D527" s="3"/>
      <c r="G527" s="8"/>
    </row>
    <row r="528">
      <c r="A528" s="3"/>
      <c r="B528" s="3"/>
      <c r="C528" s="2"/>
      <c r="D528" s="3"/>
      <c r="G528" s="8"/>
    </row>
    <row r="529">
      <c r="A529" s="3"/>
      <c r="B529" s="3"/>
      <c r="C529" s="2"/>
      <c r="D529" s="3"/>
      <c r="G529" s="8"/>
    </row>
    <row r="530">
      <c r="A530" s="3"/>
      <c r="B530" s="3"/>
      <c r="C530" s="2"/>
      <c r="D530" s="3"/>
      <c r="G530" s="8"/>
    </row>
    <row r="531">
      <c r="A531" s="3"/>
      <c r="B531" s="3"/>
      <c r="C531" s="2"/>
      <c r="D531" s="3"/>
      <c r="G531" s="8"/>
    </row>
    <row r="532">
      <c r="A532" s="3"/>
      <c r="B532" s="3"/>
      <c r="C532" s="2"/>
      <c r="D532" s="3"/>
      <c r="G532" s="8"/>
    </row>
    <row r="533">
      <c r="A533" s="3"/>
      <c r="B533" s="3"/>
      <c r="C533" s="2"/>
      <c r="D533" s="3"/>
      <c r="G533" s="8"/>
    </row>
    <row r="534">
      <c r="A534" s="3"/>
      <c r="B534" s="3"/>
      <c r="C534" s="2"/>
      <c r="D534" s="3"/>
      <c r="G534" s="8"/>
    </row>
    <row r="535">
      <c r="A535" s="3"/>
      <c r="B535" s="3"/>
      <c r="C535" s="2"/>
      <c r="D535" s="3"/>
      <c r="G535" s="8"/>
    </row>
    <row r="536">
      <c r="A536" s="3"/>
      <c r="B536" s="3"/>
      <c r="C536" s="2"/>
      <c r="D536" s="3"/>
      <c r="G536" s="8"/>
    </row>
    <row r="537">
      <c r="A537" s="3"/>
      <c r="B537" s="3"/>
      <c r="C537" s="2"/>
      <c r="D537" s="3"/>
      <c r="G537" s="8"/>
    </row>
    <row r="538">
      <c r="A538" s="3"/>
      <c r="B538" s="3"/>
      <c r="C538" s="2"/>
      <c r="D538" s="3"/>
      <c r="G538" s="8"/>
    </row>
    <row r="539">
      <c r="A539" s="3"/>
      <c r="B539" s="3"/>
      <c r="C539" s="2"/>
      <c r="D539" s="3"/>
      <c r="G539" s="8"/>
    </row>
    <row r="540">
      <c r="A540" s="3"/>
      <c r="B540" s="3"/>
      <c r="C540" s="2"/>
      <c r="D540" s="3"/>
      <c r="G540" s="8"/>
    </row>
    <row r="541">
      <c r="A541" s="3"/>
      <c r="B541" s="3"/>
      <c r="C541" s="2"/>
      <c r="D541" s="3"/>
      <c r="G541" s="8"/>
    </row>
    <row r="542">
      <c r="A542" s="3"/>
      <c r="B542" s="3"/>
      <c r="C542" s="2"/>
      <c r="D542" s="3"/>
      <c r="G542" s="8"/>
    </row>
    <row r="543">
      <c r="A543" s="3"/>
      <c r="B543" s="3"/>
      <c r="C543" s="2"/>
      <c r="D543" s="3"/>
      <c r="G543" s="8"/>
    </row>
    <row r="544">
      <c r="A544" s="3"/>
      <c r="B544" s="3"/>
      <c r="C544" s="2"/>
      <c r="D544" s="3"/>
      <c r="G544" s="8"/>
    </row>
    <row r="545">
      <c r="A545" s="3"/>
      <c r="B545" s="3"/>
      <c r="C545" s="2"/>
      <c r="D545" s="3"/>
      <c r="G545" s="8"/>
    </row>
    <row r="546">
      <c r="A546" s="3"/>
      <c r="B546" s="3"/>
      <c r="C546" s="2"/>
      <c r="D546" s="3"/>
      <c r="G546" s="8"/>
    </row>
    <row r="547">
      <c r="A547" s="3"/>
      <c r="B547" s="3"/>
      <c r="C547" s="2"/>
      <c r="D547" s="3"/>
      <c r="G547" s="8"/>
    </row>
    <row r="548">
      <c r="A548" s="3"/>
      <c r="B548" s="3"/>
      <c r="C548" s="2"/>
      <c r="D548" s="3"/>
      <c r="G548" s="8"/>
    </row>
    <row r="549">
      <c r="A549" s="3"/>
      <c r="B549" s="3"/>
      <c r="C549" s="2"/>
      <c r="D549" s="3"/>
      <c r="G549" s="8"/>
    </row>
    <row r="550">
      <c r="A550" s="3"/>
      <c r="B550" s="3"/>
      <c r="C550" s="2"/>
      <c r="D550" s="3"/>
      <c r="G550" s="8"/>
    </row>
    <row r="551">
      <c r="A551" s="3"/>
      <c r="B551" s="3"/>
      <c r="C551" s="2"/>
      <c r="D551" s="3"/>
      <c r="G551" s="8"/>
    </row>
    <row r="552">
      <c r="A552" s="3"/>
      <c r="B552" s="3"/>
      <c r="C552" s="2"/>
      <c r="D552" s="3"/>
      <c r="G552" s="8"/>
    </row>
    <row r="553">
      <c r="A553" s="3"/>
      <c r="B553" s="3"/>
      <c r="C553" s="2"/>
      <c r="D553" s="3"/>
      <c r="G553" s="8"/>
    </row>
    <row r="554">
      <c r="A554" s="3"/>
      <c r="B554" s="3"/>
      <c r="C554" s="2"/>
      <c r="D554" s="3"/>
      <c r="G554" s="8"/>
    </row>
    <row r="555">
      <c r="A555" s="3"/>
      <c r="B555" s="3"/>
      <c r="C555" s="2"/>
      <c r="D555" s="3"/>
      <c r="G555" s="8"/>
    </row>
    <row r="556">
      <c r="A556" s="3"/>
      <c r="B556" s="3"/>
      <c r="C556" s="2"/>
      <c r="D556" s="3"/>
      <c r="G556" s="8"/>
    </row>
    <row r="557">
      <c r="A557" s="3"/>
      <c r="B557" s="3"/>
      <c r="C557" s="2"/>
      <c r="D557" s="3"/>
      <c r="G557" s="8"/>
    </row>
    <row r="558">
      <c r="A558" s="3"/>
      <c r="B558" s="3"/>
      <c r="C558" s="2"/>
      <c r="D558" s="3"/>
      <c r="G558" s="8"/>
    </row>
    <row r="559">
      <c r="A559" s="3"/>
      <c r="B559" s="3"/>
      <c r="C559" s="2"/>
      <c r="D559" s="3"/>
      <c r="G559" s="8"/>
    </row>
    <row r="560">
      <c r="A560" s="3"/>
      <c r="B560" s="3"/>
      <c r="C560" s="2"/>
      <c r="D560" s="3"/>
      <c r="G560" s="8"/>
    </row>
    <row r="561">
      <c r="A561" s="3"/>
      <c r="B561" s="3"/>
      <c r="C561" s="2"/>
      <c r="D561" s="3"/>
      <c r="G561" s="8"/>
    </row>
    <row r="562">
      <c r="A562" s="3"/>
      <c r="B562" s="3"/>
      <c r="C562" s="2"/>
      <c r="D562" s="3"/>
      <c r="G562" s="8"/>
    </row>
    <row r="563">
      <c r="A563" s="3"/>
      <c r="B563" s="3"/>
      <c r="C563" s="2"/>
      <c r="D563" s="3"/>
      <c r="G563" s="8"/>
    </row>
    <row r="564">
      <c r="A564" s="3"/>
      <c r="B564" s="3"/>
      <c r="C564" s="2"/>
      <c r="D564" s="3"/>
      <c r="G564" s="8"/>
    </row>
    <row r="565">
      <c r="A565" s="3"/>
      <c r="B565" s="3"/>
      <c r="C565" s="2"/>
      <c r="D565" s="3"/>
      <c r="G565" s="8"/>
    </row>
    <row r="566">
      <c r="A566" s="3"/>
      <c r="B566" s="3"/>
      <c r="C566" s="2"/>
      <c r="D566" s="3"/>
      <c r="G566" s="8"/>
    </row>
    <row r="567">
      <c r="A567" s="3"/>
      <c r="B567" s="3"/>
      <c r="C567" s="2"/>
      <c r="D567" s="3"/>
      <c r="G567" s="8"/>
    </row>
    <row r="568">
      <c r="A568" s="3"/>
      <c r="B568" s="3"/>
      <c r="C568" s="2"/>
      <c r="D568" s="3"/>
      <c r="G568" s="8"/>
    </row>
    <row r="569">
      <c r="A569" s="3"/>
      <c r="B569" s="3"/>
      <c r="C569" s="2"/>
      <c r="D569" s="3"/>
      <c r="G569" s="8"/>
    </row>
    <row r="570">
      <c r="A570" s="3"/>
      <c r="B570" s="3"/>
      <c r="C570" s="2"/>
      <c r="D570" s="3"/>
      <c r="G570" s="8"/>
    </row>
    <row r="571">
      <c r="A571" s="3"/>
      <c r="B571" s="3"/>
      <c r="C571" s="2"/>
      <c r="D571" s="3"/>
      <c r="G571" s="8"/>
    </row>
    <row r="572">
      <c r="A572" s="3"/>
      <c r="B572" s="3"/>
      <c r="C572" s="2"/>
      <c r="D572" s="3"/>
      <c r="G572" s="8"/>
    </row>
    <row r="573">
      <c r="A573" s="3"/>
      <c r="B573" s="3"/>
      <c r="C573" s="2"/>
      <c r="D573" s="3"/>
      <c r="G573" s="8"/>
    </row>
    <row r="574">
      <c r="A574" s="3"/>
      <c r="B574" s="3"/>
      <c r="C574" s="2"/>
      <c r="D574" s="3"/>
      <c r="G574" s="8"/>
    </row>
    <row r="575">
      <c r="A575" s="3"/>
      <c r="B575" s="3"/>
      <c r="C575" s="2"/>
      <c r="D575" s="3"/>
      <c r="G575" s="8"/>
    </row>
    <row r="576">
      <c r="A576" s="3"/>
      <c r="B576" s="3"/>
      <c r="C576" s="2"/>
      <c r="D576" s="3"/>
      <c r="G576" s="8"/>
    </row>
    <row r="577">
      <c r="A577" s="3"/>
      <c r="B577" s="3"/>
      <c r="C577" s="2"/>
      <c r="D577" s="3"/>
      <c r="G577" s="8"/>
    </row>
    <row r="578">
      <c r="A578" s="3"/>
      <c r="B578" s="3"/>
      <c r="C578" s="2"/>
      <c r="D578" s="3"/>
      <c r="G578" s="8"/>
    </row>
    <row r="579">
      <c r="A579" s="3"/>
      <c r="B579" s="3"/>
      <c r="C579" s="2"/>
      <c r="D579" s="3"/>
      <c r="G579" s="8"/>
    </row>
    <row r="580">
      <c r="A580" s="3"/>
      <c r="B580" s="3"/>
      <c r="C580" s="2"/>
      <c r="D580" s="3"/>
      <c r="G580" s="8"/>
    </row>
    <row r="581">
      <c r="A581" s="3"/>
      <c r="B581" s="3"/>
      <c r="C581" s="2"/>
      <c r="D581" s="3"/>
      <c r="G581" s="8"/>
    </row>
    <row r="582">
      <c r="A582" s="3"/>
      <c r="B582" s="3"/>
      <c r="C582" s="2"/>
      <c r="D582" s="3"/>
      <c r="G582" s="8"/>
    </row>
    <row r="583">
      <c r="A583" s="3"/>
      <c r="B583" s="3"/>
      <c r="C583" s="2"/>
      <c r="D583" s="3"/>
      <c r="G583" s="8"/>
    </row>
    <row r="584">
      <c r="A584" s="3"/>
      <c r="B584" s="3"/>
      <c r="C584" s="2"/>
      <c r="D584" s="3"/>
      <c r="G584" s="8"/>
    </row>
    <row r="585">
      <c r="A585" s="3"/>
      <c r="B585" s="3"/>
      <c r="C585" s="2"/>
      <c r="D585" s="3"/>
      <c r="G585" s="8"/>
    </row>
    <row r="586">
      <c r="A586" s="3"/>
      <c r="B586" s="3"/>
      <c r="C586" s="2"/>
      <c r="D586" s="3"/>
      <c r="G586" s="8"/>
    </row>
    <row r="587">
      <c r="A587" s="3"/>
      <c r="B587" s="3"/>
      <c r="C587" s="2"/>
      <c r="D587" s="3"/>
      <c r="G587" s="8"/>
    </row>
    <row r="588">
      <c r="A588" s="3"/>
      <c r="B588" s="3"/>
      <c r="C588" s="2"/>
      <c r="D588" s="3"/>
      <c r="G588" s="8"/>
    </row>
    <row r="589">
      <c r="A589" s="3"/>
      <c r="B589" s="3"/>
      <c r="C589" s="2"/>
      <c r="D589" s="3"/>
      <c r="G589" s="8"/>
    </row>
    <row r="590">
      <c r="A590" s="3"/>
      <c r="B590" s="3"/>
      <c r="C590" s="2"/>
      <c r="D590" s="3"/>
      <c r="G590" s="8"/>
    </row>
    <row r="591">
      <c r="A591" s="3"/>
      <c r="B591" s="3"/>
      <c r="C591" s="2"/>
      <c r="D591" s="3"/>
      <c r="G591" s="8"/>
    </row>
    <row r="592">
      <c r="A592" s="3"/>
      <c r="B592" s="3"/>
      <c r="C592" s="2"/>
      <c r="D592" s="3"/>
      <c r="G592" s="8"/>
    </row>
    <row r="593">
      <c r="A593" s="3"/>
      <c r="B593" s="3"/>
      <c r="C593" s="2"/>
      <c r="D593" s="3"/>
      <c r="G593" s="8"/>
    </row>
    <row r="594">
      <c r="A594" s="3"/>
      <c r="B594" s="3"/>
      <c r="C594" s="2"/>
      <c r="D594" s="3"/>
      <c r="G594" s="8"/>
    </row>
    <row r="595">
      <c r="A595" s="3"/>
      <c r="B595" s="3"/>
      <c r="C595" s="2"/>
      <c r="D595" s="3"/>
      <c r="G595" s="8"/>
    </row>
    <row r="596">
      <c r="A596" s="3"/>
      <c r="B596" s="3"/>
      <c r="C596" s="2"/>
      <c r="D596" s="3"/>
      <c r="G596" s="8"/>
    </row>
    <row r="597">
      <c r="A597" s="3"/>
      <c r="B597" s="3"/>
      <c r="C597" s="2"/>
      <c r="D597" s="3"/>
      <c r="G597" s="8"/>
    </row>
    <row r="598">
      <c r="A598" s="3"/>
      <c r="B598" s="3"/>
      <c r="C598" s="2"/>
      <c r="D598" s="3"/>
      <c r="G598" s="8"/>
    </row>
    <row r="599">
      <c r="A599" s="3"/>
      <c r="B599" s="3"/>
      <c r="C599" s="2"/>
      <c r="D599" s="3"/>
      <c r="G599" s="8"/>
    </row>
    <row r="600">
      <c r="A600" s="3"/>
      <c r="B600" s="3"/>
      <c r="C600" s="2"/>
      <c r="D600" s="3"/>
      <c r="G600" s="8"/>
    </row>
    <row r="601">
      <c r="A601" s="3"/>
      <c r="B601" s="3"/>
      <c r="C601" s="2"/>
      <c r="D601" s="3"/>
      <c r="G601" s="8"/>
    </row>
    <row r="602">
      <c r="A602" s="3"/>
      <c r="B602" s="3"/>
      <c r="C602" s="2"/>
      <c r="D602" s="3"/>
      <c r="G602" s="8"/>
    </row>
    <row r="603">
      <c r="A603" s="3"/>
      <c r="B603" s="3"/>
      <c r="C603" s="2"/>
      <c r="D603" s="3"/>
      <c r="G603" s="8"/>
    </row>
    <row r="604">
      <c r="A604" s="3"/>
      <c r="B604" s="3"/>
      <c r="C604" s="2"/>
      <c r="D604" s="3"/>
      <c r="G604" s="8"/>
    </row>
    <row r="605">
      <c r="A605" s="3"/>
      <c r="B605" s="3"/>
      <c r="C605" s="2"/>
      <c r="D605" s="3"/>
      <c r="G605" s="8"/>
    </row>
    <row r="606">
      <c r="A606" s="3"/>
      <c r="B606" s="3"/>
      <c r="C606" s="2"/>
      <c r="D606" s="3"/>
      <c r="G606" s="8"/>
    </row>
    <row r="607">
      <c r="A607" s="3"/>
      <c r="B607" s="3"/>
      <c r="C607" s="2"/>
      <c r="D607" s="3"/>
      <c r="G607" s="8"/>
    </row>
    <row r="608">
      <c r="A608" s="3"/>
      <c r="B608" s="3"/>
      <c r="C608" s="2"/>
      <c r="D608" s="3"/>
      <c r="G608" s="8"/>
    </row>
    <row r="609">
      <c r="A609" s="3"/>
      <c r="B609" s="3"/>
      <c r="C609" s="2"/>
      <c r="D609" s="3"/>
      <c r="G609" s="8"/>
    </row>
    <row r="610">
      <c r="A610" s="3"/>
      <c r="B610" s="3"/>
      <c r="C610" s="2"/>
      <c r="D610" s="3"/>
      <c r="G610" s="8"/>
    </row>
    <row r="611">
      <c r="A611" s="3"/>
      <c r="B611" s="3"/>
      <c r="C611" s="2"/>
      <c r="D611" s="3"/>
      <c r="G611" s="8"/>
    </row>
    <row r="612">
      <c r="A612" s="3"/>
      <c r="B612" s="3"/>
      <c r="C612" s="2"/>
      <c r="D612" s="3"/>
      <c r="G612" s="8"/>
    </row>
    <row r="613">
      <c r="A613" s="3"/>
      <c r="B613" s="3"/>
      <c r="C613" s="2"/>
      <c r="D613" s="3"/>
      <c r="G613" s="8"/>
    </row>
    <row r="614">
      <c r="A614" s="3"/>
      <c r="B614" s="3"/>
      <c r="C614" s="2"/>
      <c r="D614" s="3"/>
      <c r="G614" s="8"/>
    </row>
    <row r="615">
      <c r="A615" s="3"/>
      <c r="B615" s="3"/>
      <c r="C615" s="2"/>
      <c r="D615" s="3"/>
      <c r="G615" s="8"/>
    </row>
    <row r="616">
      <c r="A616" s="3"/>
      <c r="B616" s="3"/>
      <c r="C616" s="2"/>
      <c r="D616" s="3"/>
      <c r="G616" s="8"/>
    </row>
    <row r="617">
      <c r="A617" s="3"/>
      <c r="B617" s="3"/>
      <c r="C617" s="2"/>
      <c r="D617" s="3"/>
      <c r="G617" s="8"/>
    </row>
    <row r="618">
      <c r="A618" s="3"/>
      <c r="B618" s="3"/>
      <c r="C618" s="2"/>
      <c r="D618" s="3"/>
      <c r="G618" s="8"/>
    </row>
    <row r="619">
      <c r="A619" s="3"/>
      <c r="B619" s="3"/>
      <c r="C619" s="2"/>
      <c r="D619" s="3"/>
      <c r="G619" s="8"/>
    </row>
    <row r="620">
      <c r="A620" s="3"/>
      <c r="B620" s="3"/>
      <c r="C620" s="2"/>
      <c r="D620" s="3"/>
      <c r="G620" s="8"/>
    </row>
    <row r="621">
      <c r="A621" s="3"/>
      <c r="B621" s="3"/>
      <c r="C621" s="2"/>
      <c r="D621" s="3"/>
      <c r="G621" s="8"/>
    </row>
    <row r="622">
      <c r="A622" s="3"/>
      <c r="B622" s="3"/>
      <c r="C622" s="2"/>
      <c r="D622" s="3"/>
      <c r="G622" s="8"/>
    </row>
    <row r="623">
      <c r="A623" s="3"/>
      <c r="B623" s="3"/>
      <c r="C623" s="2"/>
      <c r="D623" s="3"/>
      <c r="G623" s="8"/>
    </row>
    <row r="624">
      <c r="A624" s="3"/>
      <c r="B624" s="3"/>
      <c r="C624" s="2"/>
      <c r="D624" s="3"/>
      <c r="G624" s="8"/>
    </row>
    <row r="625">
      <c r="A625" s="3"/>
      <c r="B625" s="3"/>
      <c r="C625" s="2"/>
      <c r="D625" s="3"/>
      <c r="G625" s="8"/>
    </row>
    <row r="626">
      <c r="A626" s="3"/>
      <c r="B626" s="3"/>
      <c r="C626" s="2"/>
      <c r="D626" s="3"/>
      <c r="G626" s="8"/>
    </row>
    <row r="627">
      <c r="A627" s="3"/>
      <c r="B627" s="3"/>
      <c r="C627" s="2"/>
      <c r="D627" s="3"/>
      <c r="G627" s="8"/>
    </row>
    <row r="628">
      <c r="A628" s="3"/>
      <c r="B628" s="3"/>
      <c r="C628" s="2"/>
      <c r="D628" s="3"/>
      <c r="G628" s="8"/>
    </row>
    <row r="629">
      <c r="A629" s="3"/>
      <c r="B629" s="3"/>
      <c r="C629" s="2"/>
      <c r="D629" s="3"/>
      <c r="G629" s="8"/>
    </row>
    <row r="630">
      <c r="A630" s="3"/>
      <c r="B630" s="3"/>
      <c r="C630" s="2"/>
      <c r="D630" s="3"/>
      <c r="G630" s="8"/>
    </row>
    <row r="631">
      <c r="A631" s="3"/>
      <c r="B631" s="3"/>
      <c r="C631" s="2"/>
      <c r="D631" s="3"/>
      <c r="G631" s="8"/>
    </row>
    <row r="632">
      <c r="A632" s="3"/>
      <c r="B632" s="3"/>
      <c r="C632" s="2"/>
      <c r="D632" s="3"/>
      <c r="G632" s="8"/>
    </row>
    <row r="633">
      <c r="A633" s="3"/>
      <c r="B633" s="3"/>
      <c r="C633" s="2"/>
      <c r="D633" s="3"/>
      <c r="G633" s="8"/>
    </row>
    <row r="634">
      <c r="A634" s="3"/>
      <c r="B634" s="3"/>
      <c r="C634" s="2"/>
      <c r="D634" s="3"/>
      <c r="G634" s="8"/>
    </row>
    <row r="635">
      <c r="A635" s="3"/>
      <c r="B635" s="3"/>
      <c r="C635" s="2"/>
      <c r="D635" s="3"/>
      <c r="G635" s="8"/>
    </row>
    <row r="636">
      <c r="A636" s="3"/>
      <c r="B636" s="3"/>
      <c r="C636" s="2"/>
      <c r="D636" s="3"/>
      <c r="G636" s="8"/>
    </row>
    <row r="637">
      <c r="A637" s="3"/>
      <c r="B637" s="3"/>
      <c r="C637" s="2"/>
      <c r="D637" s="3"/>
      <c r="G637" s="8"/>
    </row>
    <row r="638">
      <c r="A638" s="3"/>
      <c r="B638" s="3"/>
      <c r="C638" s="2"/>
      <c r="D638" s="3"/>
      <c r="G638" s="8"/>
    </row>
    <row r="639">
      <c r="A639" s="3"/>
      <c r="B639" s="3"/>
      <c r="C639" s="2"/>
      <c r="D639" s="3"/>
      <c r="G639" s="8"/>
    </row>
    <row r="640">
      <c r="A640" s="3"/>
      <c r="B640" s="3"/>
      <c r="C640" s="2"/>
      <c r="D640" s="3"/>
      <c r="G640" s="8"/>
    </row>
    <row r="641">
      <c r="A641" s="3"/>
      <c r="B641" s="3"/>
      <c r="C641" s="2"/>
      <c r="D641" s="3"/>
      <c r="G641" s="8"/>
    </row>
    <row r="642">
      <c r="A642" s="3"/>
      <c r="B642" s="3"/>
      <c r="C642" s="2"/>
      <c r="D642" s="3"/>
      <c r="G642" s="8"/>
    </row>
    <row r="643">
      <c r="A643" s="3"/>
      <c r="B643" s="3"/>
      <c r="C643" s="2"/>
      <c r="D643" s="3"/>
      <c r="G643" s="8"/>
    </row>
    <row r="644">
      <c r="A644" s="3"/>
      <c r="B644" s="3"/>
      <c r="C644" s="2"/>
      <c r="D644" s="3"/>
      <c r="G644" s="8"/>
    </row>
    <row r="645">
      <c r="A645" s="3"/>
      <c r="B645" s="3"/>
      <c r="C645" s="2"/>
      <c r="D645" s="3"/>
      <c r="G645" s="8"/>
    </row>
    <row r="646">
      <c r="A646" s="3"/>
      <c r="B646" s="3"/>
      <c r="C646" s="2"/>
      <c r="D646" s="3"/>
      <c r="G646" s="8"/>
    </row>
    <row r="647">
      <c r="A647" s="3"/>
      <c r="B647" s="3"/>
      <c r="C647" s="2"/>
      <c r="D647" s="3"/>
      <c r="G647" s="8"/>
    </row>
    <row r="648">
      <c r="A648" s="3"/>
      <c r="B648" s="3"/>
      <c r="C648" s="2"/>
      <c r="D648" s="3"/>
      <c r="G648" s="8"/>
    </row>
    <row r="649">
      <c r="A649" s="3"/>
      <c r="B649" s="3"/>
      <c r="C649" s="2"/>
      <c r="D649" s="3"/>
      <c r="G649" s="8"/>
    </row>
    <row r="650">
      <c r="A650" s="3"/>
      <c r="B650" s="3"/>
      <c r="C650" s="2"/>
      <c r="D650" s="3"/>
      <c r="G650" s="8"/>
    </row>
    <row r="651">
      <c r="A651" s="3"/>
      <c r="B651" s="3"/>
      <c r="C651" s="2"/>
      <c r="D651" s="3"/>
      <c r="G651" s="8"/>
    </row>
    <row r="652">
      <c r="A652" s="3"/>
      <c r="B652" s="3"/>
      <c r="C652" s="2"/>
      <c r="D652" s="3"/>
      <c r="G652" s="8"/>
    </row>
    <row r="653">
      <c r="A653" s="3"/>
      <c r="B653" s="3"/>
      <c r="C653" s="2"/>
      <c r="D653" s="3"/>
      <c r="G653" s="8"/>
    </row>
    <row r="654">
      <c r="A654" s="3"/>
      <c r="B654" s="3"/>
      <c r="C654" s="2"/>
      <c r="D654" s="3"/>
      <c r="G654" s="8"/>
    </row>
    <row r="655">
      <c r="A655" s="3"/>
      <c r="B655" s="3"/>
      <c r="C655" s="2"/>
      <c r="D655" s="3"/>
      <c r="G655" s="8"/>
    </row>
    <row r="656">
      <c r="A656" s="3"/>
      <c r="B656" s="3"/>
      <c r="C656" s="2"/>
      <c r="D656" s="3"/>
      <c r="G656" s="8"/>
    </row>
    <row r="657">
      <c r="A657" s="3"/>
      <c r="B657" s="3"/>
      <c r="C657" s="2"/>
      <c r="D657" s="3"/>
      <c r="G657" s="8"/>
    </row>
    <row r="658">
      <c r="A658" s="3"/>
      <c r="B658" s="3"/>
      <c r="C658" s="2"/>
      <c r="D658" s="3"/>
      <c r="G658" s="8"/>
    </row>
    <row r="659">
      <c r="A659" s="3"/>
      <c r="B659" s="3"/>
      <c r="C659" s="2"/>
      <c r="D659" s="3"/>
      <c r="G659" s="8"/>
    </row>
    <row r="660">
      <c r="A660" s="3"/>
      <c r="B660" s="3"/>
      <c r="C660" s="2"/>
      <c r="D660" s="3"/>
      <c r="G660" s="8"/>
    </row>
    <row r="661">
      <c r="A661" s="3"/>
      <c r="B661" s="3"/>
      <c r="C661" s="2"/>
      <c r="D661" s="3"/>
      <c r="G661" s="8"/>
    </row>
    <row r="662">
      <c r="A662" s="3"/>
      <c r="B662" s="3"/>
      <c r="C662" s="2"/>
      <c r="D662" s="3"/>
      <c r="G662" s="8"/>
    </row>
    <row r="663">
      <c r="A663" s="3"/>
      <c r="B663" s="3"/>
      <c r="C663" s="2"/>
      <c r="D663" s="3"/>
      <c r="G663" s="8"/>
    </row>
    <row r="664">
      <c r="A664" s="3"/>
      <c r="B664" s="3"/>
      <c r="C664" s="2"/>
      <c r="D664" s="3"/>
      <c r="G664" s="8"/>
    </row>
    <row r="665">
      <c r="A665" s="3"/>
      <c r="B665" s="3"/>
      <c r="C665" s="2"/>
      <c r="D665" s="3"/>
      <c r="G665" s="8"/>
    </row>
    <row r="666">
      <c r="A666" s="3"/>
      <c r="B666" s="3"/>
      <c r="C666" s="2"/>
      <c r="D666" s="3"/>
      <c r="G666" s="8"/>
    </row>
    <row r="667">
      <c r="A667" s="3"/>
      <c r="B667" s="3"/>
      <c r="C667" s="2"/>
      <c r="D667" s="3"/>
      <c r="G667" s="8"/>
    </row>
    <row r="668">
      <c r="A668" s="3"/>
      <c r="B668" s="3"/>
      <c r="C668" s="2"/>
      <c r="D668" s="3"/>
      <c r="G668" s="8"/>
    </row>
    <row r="669">
      <c r="A669" s="3"/>
      <c r="B669" s="3"/>
      <c r="C669" s="2"/>
      <c r="D669" s="3"/>
      <c r="G669" s="8"/>
    </row>
    <row r="670">
      <c r="A670" s="3"/>
      <c r="B670" s="3"/>
      <c r="C670" s="2"/>
      <c r="D670" s="3"/>
      <c r="G670" s="8"/>
    </row>
    <row r="671">
      <c r="A671" s="3"/>
      <c r="B671" s="3"/>
      <c r="C671" s="2"/>
      <c r="D671" s="3"/>
      <c r="G671" s="8"/>
    </row>
    <row r="672">
      <c r="A672" s="3"/>
      <c r="B672" s="3"/>
      <c r="C672" s="2"/>
      <c r="D672" s="3"/>
      <c r="G672" s="8"/>
    </row>
    <row r="673">
      <c r="A673" s="3"/>
      <c r="B673" s="3"/>
      <c r="C673" s="2"/>
      <c r="D673" s="3"/>
      <c r="G673" s="8"/>
    </row>
    <row r="674">
      <c r="A674" s="3"/>
      <c r="B674" s="3"/>
      <c r="C674" s="2"/>
      <c r="D674" s="3"/>
      <c r="G674" s="8"/>
    </row>
    <row r="675">
      <c r="A675" s="3"/>
      <c r="B675" s="3"/>
      <c r="C675" s="2"/>
      <c r="D675" s="3"/>
      <c r="G675" s="8"/>
    </row>
    <row r="676">
      <c r="A676" s="3"/>
      <c r="B676" s="3"/>
      <c r="C676" s="2"/>
      <c r="D676" s="3"/>
      <c r="G676" s="8"/>
    </row>
    <row r="677">
      <c r="A677" s="3"/>
      <c r="B677" s="3"/>
      <c r="C677" s="2"/>
      <c r="D677" s="3"/>
      <c r="G677" s="8"/>
    </row>
    <row r="678">
      <c r="A678" s="3"/>
      <c r="B678" s="3"/>
      <c r="C678" s="2"/>
      <c r="D678" s="3"/>
      <c r="G678" s="8"/>
    </row>
    <row r="679">
      <c r="A679" s="3"/>
      <c r="B679" s="3"/>
      <c r="C679" s="2"/>
      <c r="D679" s="3"/>
      <c r="G679" s="8"/>
    </row>
    <row r="680">
      <c r="A680" s="3"/>
      <c r="B680" s="3"/>
      <c r="C680" s="2"/>
      <c r="D680" s="3"/>
      <c r="G680" s="8"/>
    </row>
    <row r="681">
      <c r="A681" s="3"/>
      <c r="B681" s="3"/>
      <c r="C681" s="2"/>
      <c r="D681" s="3"/>
      <c r="G681" s="8"/>
    </row>
    <row r="682">
      <c r="A682" s="3"/>
      <c r="B682" s="3"/>
      <c r="C682" s="2"/>
      <c r="D682" s="3"/>
      <c r="G682" s="8"/>
    </row>
    <row r="683">
      <c r="A683" s="3"/>
      <c r="B683" s="3"/>
      <c r="C683" s="2"/>
      <c r="D683" s="3"/>
      <c r="G683" s="8"/>
    </row>
    <row r="684">
      <c r="A684" s="3"/>
      <c r="B684" s="3"/>
      <c r="C684" s="2"/>
      <c r="D684" s="3"/>
      <c r="G684" s="8"/>
    </row>
    <row r="685">
      <c r="A685" s="3"/>
      <c r="B685" s="3"/>
      <c r="C685" s="2"/>
      <c r="D685" s="3"/>
      <c r="G685" s="8"/>
    </row>
    <row r="686">
      <c r="A686" s="3"/>
      <c r="B686" s="3"/>
      <c r="C686" s="2"/>
      <c r="D686" s="3"/>
      <c r="G686" s="8"/>
    </row>
    <row r="687">
      <c r="A687" s="3"/>
      <c r="B687" s="3"/>
      <c r="C687" s="2"/>
      <c r="D687" s="3"/>
      <c r="G687" s="8"/>
    </row>
    <row r="688">
      <c r="A688" s="3"/>
      <c r="B688" s="3"/>
      <c r="C688" s="2"/>
      <c r="D688" s="3"/>
      <c r="G688" s="8"/>
    </row>
    <row r="689">
      <c r="A689" s="3"/>
      <c r="B689" s="3"/>
      <c r="C689" s="2"/>
      <c r="D689" s="3"/>
      <c r="G689" s="8"/>
    </row>
    <row r="690">
      <c r="A690" s="3"/>
      <c r="B690" s="3"/>
      <c r="C690" s="2"/>
      <c r="D690" s="3"/>
      <c r="G690" s="8"/>
    </row>
    <row r="691">
      <c r="A691" s="3"/>
      <c r="B691" s="3"/>
      <c r="C691" s="2"/>
      <c r="D691" s="3"/>
      <c r="G691" s="8"/>
    </row>
    <row r="692">
      <c r="A692" s="3"/>
      <c r="B692" s="3"/>
      <c r="C692" s="2"/>
      <c r="D692" s="3"/>
      <c r="G692" s="8"/>
    </row>
    <row r="693">
      <c r="A693" s="3"/>
      <c r="B693" s="3"/>
      <c r="C693" s="2"/>
      <c r="D693" s="3"/>
      <c r="G693" s="8"/>
    </row>
    <row r="694">
      <c r="A694" s="3"/>
      <c r="B694" s="3"/>
      <c r="C694" s="2"/>
      <c r="D694" s="3"/>
      <c r="G694" s="8"/>
    </row>
    <row r="695">
      <c r="A695" s="3"/>
      <c r="B695" s="3"/>
      <c r="C695" s="2"/>
      <c r="D695" s="3"/>
      <c r="G695" s="8"/>
    </row>
    <row r="696">
      <c r="A696" s="3"/>
      <c r="B696" s="3"/>
      <c r="C696" s="2"/>
      <c r="D696" s="3"/>
      <c r="G696" s="8"/>
    </row>
    <row r="697">
      <c r="A697" s="3"/>
      <c r="B697" s="3"/>
      <c r="C697" s="2"/>
      <c r="D697" s="3"/>
      <c r="G697" s="8"/>
    </row>
    <row r="698">
      <c r="A698" s="3"/>
      <c r="B698" s="3"/>
      <c r="C698" s="2"/>
      <c r="D698" s="3"/>
      <c r="G698" s="8"/>
    </row>
    <row r="699">
      <c r="A699" s="3"/>
      <c r="B699" s="3"/>
      <c r="C699" s="2"/>
      <c r="D699" s="3"/>
      <c r="G699" s="8"/>
    </row>
    <row r="700">
      <c r="A700" s="3"/>
      <c r="B700" s="3"/>
      <c r="C700" s="2"/>
      <c r="D700" s="3"/>
      <c r="G700" s="8"/>
    </row>
    <row r="701">
      <c r="A701" s="3"/>
      <c r="B701" s="3"/>
      <c r="C701" s="2"/>
      <c r="D701" s="3"/>
      <c r="G701" s="8"/>
    </row>
    <row r="702">
      <c r="A702" s="3"/>
      <c r="B702" s="3"/>
      <c r="C702" s="2"/>
      <c r="D702" s="3"/>
      <c r="G702" s="8"/>
    </row>
    <row r="703">
      <c r="A703" s="3"/>
      <c r="B703" s="3"/>
      <c r="C703" s="2"/>
      <c r="D703" s="3"/>
      <c r="G703" s="8"/>
    </row>
    <row r="704">
      <c r="A704" s="3"/>
      <c r="B704" s="3"/>
      <c r="C704" s="2"/>
      <c r="D704" s="3"/>
      <c r="G704" s="8"/>
    </row>
    <row r="705">
      <c r="A705" s="3"/>
      <c r="B705" s="3"/>
      <c r="C705" s="2"/>
      <c r="D705" s="3"/>
      <c r="G705" s="8"/>
    </row>
    <row r="706">
      <c r="A706" s="3"/>
      <c r="B706" s="3"/>
      <c r="C706" s="2"/>
      <c r="D706" s="3"/>
      <c r="G706" s="8"/>
    </row>
    <row r="707">
      <c r="A707" s="3"/>
      <c r="B707" s="3"/>
      <c r="C707" s="2"/>
      <c r="D707" s="3"/>
      <c r="G707" s="8"/>
    </row>
    <row r="708">
      <c r="A708" s="3"/>
      <c r="B708" s="3"/>
      <c r="C708" s="2"/>
      <c r="D708" s="3"/>
      <c r="G708" s="8"/>
    </row>
    <row r="709">
      <c r="A709" s="3"/>
      <c r="B709" s="3"/>
      <c r="C709" s="2"/>
      <c r="D709" s="3"/>
      <c r="G709" s="8"/>
    </row>
    <row r="710">
      <c r="A710" s="3"/>
      <c r="B710" s="3"/>
      <c r="C710" s="2"/>
      <c r="D710" s="3"/>
      <c r="G710" s="8"/>
    </row>
    <row r="711">
      <c r="A711" s="3"/>
      <c r="B711" s="3"/>
      <c r="C711" s="2"/>
      <c r="D711" s="3"/>
      <c r="G711" s="8"/>
    </row>
    <row r="712">
      <c r="A712" s="3"/>
      <c r="B712" s="3"/>
      <c r="C712" s="2"/>
      <c r="D712" s="3"/>
      <c r="G712" s="8"/>
    </row>
    <row r="713">
      <c r="A713" s="3"/>
      <c r="B713" s="3"/>
      <c r="C713" s="2"/>
      <c r="D713" s="3"/>
      <c r="G713" s="8"/>
    </row>
    <row r="714">
      <c r="A714" s="3"/>
      <c r="B714" s="3"/>
      <c r="C714" s="2"/>
      <c r="D714" s="3"/>
      <c r="G714" s="8"/>
    </row>
    <row r="715">
      <c r="A715" s="3"/>
      <c r="B715" s="3"/>
      <c r="C715" s="2"/>
      <c r="D715" s="3"/>
      <c r="G715" s="8"/>
    </row>
    <row r="716">
      <c r="A716" s="3"/>
      <c r="B716" s="3"/>
      <c r="C716" s="2"/>
      <c r="D716" s="3"/>
      <c r="G716" s="8"/>
    </row>
    <row r="717">
      <c r="A717" s="3"/>
      <c r="B717" s="3"/>
      <c r="C717" s="2"/>
      <c r="D717" s="3"/>
      <c r="G717" s="8"/>
    </row>
    <row r="718">
      <c r="A718" s="3"/>
      <c r="B718" s="3"/>
      <c r="C718" s="2"/>
      <c r="D718" s="3"/>
      <c r="G718" s="8"/>
    </row>
    <row r="719">
      <c r="A719" s="3"/>
      <c r="B719" s="3"/>
      <c r="C719" s="2"/>
      <c r="D719" s="3"/>
      <c r="G719" s="8"/>
    </row>
    <row r="720">
      <c r="A720" s="3"/>
      <c r="B720" s="3"/>
      <c r="C720" s="2"/>
      <c r="D720" s="3"/>
      <c r="G720" s="8"/>
    </row>
    <row r="721">
      <c r="A721" s="3"/>
      <c r="B721" s="3"/>
      <c r="C721" s="2"/>
      <c r="D721" s="3"/>
      <c r="G721" s="8"/>
    </row>
    <row r="722">
      <c r="A722" s="3"/>
      <c r="B722" s="3"/>
      <c r="C722" s="2"/>
      <c r="D722" s="3"/>
      <c r="G722" s="8"/>
    </row>
    <row r="723">
      <c r="A723" s="3"/>
      <c r="B723" s="3"/>
      <c r="C723" s="2"/>
      <c r="D723" s="3"/>
      <c r="G723" s="8"/>
    </row>
    <row r="724">
      <c r="A724" s="3"/>
      <c r="B724" s="3"/>
      <c r="C724" s="2"/>
      <c r="D724" s="3"/>
      <c r="G724" s="8"/>
    </row>
    <row r="725">
      <c r="A725" s="3"/>
      <c r="B725" s="3"/>
      <c r="C725" s="2"/>
      <c r="D725" s="3"/>
      <c r="G725" s="8"/>
    </row>
    <row r="726">
      <c r="A726" s="3"/>
      <c r="B726" s="3"/>
      <c r="C726" s="2"/>
      <c r="D726" s="3"/>
      <c r="G726" s="8"/>
    </row>
    <row r="727">
      <c r="A727" s="3"/>
      <c r="B727" s="3"/>
      <c r="C727" s="2"/>
      <c r="D727" s="3"/>
      <c r="G727" s="8"/>
    </row>
    <row r="728">
      <c r="A728" s="3"/>
      <c r="B728" s="3"/>
      <c r="C728" s="2"/>
      <c r="D728" s="3"/>
      <c r="G728" s="8"/>
    </row>
    <row r="729">
      <c r="A729" s="3"/>
      <c r="B729" s="3"/>
      <c r="C729" s="2"/>
      <c r="D729" s="3"/>
      <c r="G729" s="8"/>
    </row>
    <row r="730">
      <c r="A730" s="3"/>
      <c r="B730" s="3"/>
      <c r="C730" s="2"/>
      <c r="D730" s="3"/>
      <c r="G730" s="8"/>
    </row>
    <row r="731">
      <c r="A731" s="3"/>
      <c r="B731" s="3"/>
      <c r="C731" s="2"/>
      <c r="D731" s="3"/>
      <c r="G731" s="8"/>
    </row>
    <row r="732">
      <c r="A732" s="3"/>
      <c r="B732" s="3"/>
      <c r="C732" s="2"/>
      <c r="D732" s="3"/>
      <c r="G732" s="8"/>
    </row>
    <row r="733">
      <c r="A733" s="3"/>
      <c r="B733" s="3"/>
      <c r="C733" s="2"/>
      <c r="D733" s="3"/>
      <c r="G733" s="8"/>
    </row>
    <row r="734">
      <c r="A734" s="3"/>
      <c r="B734" s="3"/>
      <c r="C734" s="2"/>
      <c r="D734" s="3"/>
      <c r="G734" s="8"/>
    </row>
    <row r="735">
      <c r="A735" s="3"/>
      <c r="B735" s="3"/>
      <c r="C735" s="2"/>
      <c r="D735" s="3"/>
      <c r="G735" s="8"/>
    </row>
    <row r="736">
      <c r="A736" s="3"/>
      <c r="B736" s="3"/>
      <c r="C736" s="2"/>
      <c r="D736" s="3"/>
      <c r="G736" s="8"/>
    </row>
    <row r="737">
      <c r="A737" s="3"/>
      <c r="B737" s="3"/>
      <c r="C737" s="2"/>
      <c r="D737" s="3"/>
      <c r="G737" s="8"/>
    </row>
    <row r="738">
      <c r="A738" s="3"/>
      <c r="B738" s="3"/>
      <c r="C738" s="2"/>
      <c r="D738" s="3"/>
      <c r="G738" s="8"/>
    </row>
    <row r="739">
      <c r="A739" s="3"/>
      <c r="B739" s="3"/>
      <c r="C739" s="2"/>
      <c r="D739" s="3"/>
      <c r="G739" s="8"/>
    </row>
    <row r="740">
      <c r="A740" s="3"/>
      <c r="B740" s="3"/>
      <c r="C740" s="2"/>
      <c r="D740" s="3"/>
      <c r="G740" s="8"/>
    </row>
    <row r="741">
      <c r="A741" s="3"/>
      <c r="B741" s="3"/>
      <c r="C741" s="2"/>
      <c r="D741" s="3"/>
      <c r="G741" s="8"/>
    </row>
    <row r="742">
      <c r="A742" s="3"/>
      <c r="B742" s="3"/>
      <c r="C742" s="2"/>
      <c r="D742" s="3"/>
      <c r="G742" s="8"/>
    </row>
    <row r="743">
      <c r="A743" s="3"/>
      <c r="B743" s="3"/>
      <c r="C743" s="2"/>
      <c r="D743" s="3"/>
      <c r="G743" s="8"/>
    </row>
    <row r="744">
      <c r="A744" s="3"/>
      <c r="B744" s="3"/>
      <c r="C744" s="2"/>
      <c r="D744" s="3"/>
      <c r="G744" s="8"/>
    </row>
    <row r="745">
      <c r="A745" s="3"/>
      <c r="B745" s="3"/>
      <c r="C745" s="2"/>
      <c r="D745" s="3"/>
      <c r="G745" s="8"/>
    </row>
    <row r="746">
      <c r="A746" s="3"/>
      <c r="B746" s="3"/>
      <c r="C746" s="2"/>
      <c r="D746" s="3"/>
      <c r="G746" s="8"/>
    </row>
    <row r="747">
      <c r="A747" s="3"/>
      <c r="B747" s="3"/>
      <c r="C747" s="2"/>
      <c r="D747" s="3"/>
      <c r="G747" s="8"/>
    </row>
    <row r="748">
      <c r="A748" s="3"/>
      <c r="B748" s="3"/>
      <c r="C748" s="2"/>
      <c r="D748" s="3"/>
      <c r="G748" s="8"/>
    </row>
    <row r="749">
      <c r="A749" s="3"/>
      <c r="B749" s="3"/>
      <c r="C749" s="2"/>
      <c r="D749" s="3"/>
      <c r="G749" s="8"/>
    </row>
    <row r="750">
      <c r="A750" s="3"/>
      <c r="B750" s="3"/>
      <c r="C750" s="2"/>
      <c r="D750" s="3"/>
      <c r="G750" s="8"/>
    </row>
    <row r="751">
      <c r="A751" s="3"/>
      <c r="B751" s="3"/>
      <c r="C751" s="2"/>
      <c r="D751" s="3"/>
      <c r="G751" s="8"/>
    </row>
    <row r="752">
      <c r="A752" s="3"/>
      <c r="B752" s="3"/>
      <c r="C752" s="2"/>
      <c r="D752" s="3"/>
      <c r="G752" s="8"/>
    </row>
    <row r="753">
      <c r="A753" s="3"/>
      <c r="B753" s="3"/>
      <c r="C753" s="2"/>
      <c r="D753" s="3"/>
      <c r="G753" s="8"/>
    </row>
    <row r="754">
      <c r="A754" s="3"/>
      <c r="B754" s="3"/>
      <c r="C754" s="2"/>
      <c r="D754" s="3"/>
      <c r="G754" s="8"/>
    </row>
    <row r="755">
      <c r="A755" s="3"/>
      <c r="B755" s="3"/>
      <c r="C755" s="2"/>
      <c r="D755" s="3"/>
      <c r="G755" s="8"/>
    </row>
    <row r="756">
      <c r="A756" s="3"/>
      <c r="B756" s="3"/>
      <c r="C756" s="2"/>
      <c r="D756" s="3"/>
      <c r="G756" s="8"/>
    </row>
    <row r="757">
      <c r="A757" s="3"/>
      <c r="B757" s="3"/>
      <c r="C757" s="2"/>
      <c r="D757" s="3"/>
      <c r="G757" s="8"/>
    </row>
    <row r="758">
      <c r="A758" s="3"/>
      <c r="B758" s="3"/>
      <c r="C758" s="2"/>
      <c r="D758" s="3"/>
      <c r="G758" s="8"/>
    </row>
    <row r="759">
      <c r="A759" s="3"/>
      <c r="B759" s="3"/>
      <c r="C759" s="2"/>
      <c r="D759" s="3"/>
      <c r="G759" s="8"/>
    </row>
    <row r="760">
      <c r="A760" s="3"/>
      <c r="B760" s="3"/>
      <c r="C760" s="2"/>
      <c r="D760" s="3"/>
      <c r="G760" s="8"/>
    </row>
    <row r="761">
      <c r="A761" s="3"/>
      <c r="B761" s="3"/>
      <c r="C761" s="2"/>
      <c r="D761" s="3"/>
      <c r="G761" s="8"/>
    </row>
    <row r="762">
      <c r="A762" s="3"/>
      <c r="B762" s="3"/>
      <c r="C762" s="2"/>
      <c r="D762" s="3"/>
      <c r="G762" s="8"/>
    </row>
    <row r="763">
      <c r="A763" s="3"/>
      <c r="B763" s="3"/>
      <c r="C763" s="2"/>
      <c r="D763" s="3"/>
      <c r="G763" s="8"/>
    </row>
    <row r="764">
      <c r="A764" s="3"/>
      <c r="B764" s="3"/>
      <c r="C764" s="2"/>
      <c r="D764" s="3"/>
      <c r="G764" s="8"/>
    </row>
    <row r="765">
      <c r="A765" s="3"/>
      <c r="B765" s="3"/>
      <c r="C765" s="2"/>
      <c r="D765" s="3"/>
      <c r="G765" s="8"/>
    </row>
    <row r="766">
      <c r="A766" s="3"/>
      <c r="B766" s="3"/>
      <c r="C766" s="2"/>
      <c r="D766" s="3"/>
      <c r="G766" s="8"/>
    </row>
    <row r="767">
      <c r="A767" s="3"/>
      <c r="B767" s="3"/>
      <c r="C767" s="2"/>
      <c r="D767" s="3"/>
      <c r="G767" s="8"/>
    </row>
    <row r="768">
      <c r="A768" s="3"/>
      <c r="B768" s="3"/>
      <c r="C768" s="2"/>
      <c r="D768" s="3"/>
      <c r="G768" s="8"/>
    </row>
    <row r="769">
      <c r="A769" s="3"/>
      <c r="B769" s="3"/>
      <c r="C769" s="2"/>
      <c r="D769" s="3"/>
      <c r="G769" s="8"/>
    </row>
    <row r="770">
      <c r="A770" s="3"/>
      <c r="B770" s="3"/>
      <c r="C770" s="2"/>
      <c r="D770" s="3"/>
      <c r="G770" s="8"/>
    </row>
    <row r="771">
      <c r="A771" s="3"/>
      <c r="B771" s="3"/>
      <c r="C771" s="2"/>
      <c r="D771" s="3"/>
      <c r="G771" s="8"/>
    </row>
    <row r="772">
      <c r="A772" s="3"/>
      <c r="B772" s="3"/>
      <c r="C772" s="2"/>
      <c r="D772" s="3"/>
      <c r="G772" s="8"/>
    </row>
    <row r="773">
      <c r="A773" s="3"/>
      <c r="B773" s="3"/>
      <c r="C773" s="2"/>
      <c r="D773" s="3"/>
      <c r="G773" s="8"/>
    </row>
    <row r="774">
      <c r="A774" s="3"/>
      <c r="B774" s="3"/>
      <c r="C774" s="2"/>
      <c r="D774" s="3"/>
      <c r="G774" s="8"/>
    </row>
    <row r="775">
      <c r="A775" s="3"/>
      <c r="B775" s="3"/>
      <c r="C775" s="2"/>
      <c r="D775" s="3"/>
      <c r="G775" s="8"/>
    </row>
    <row r="776">
      <c r="A776" s="3"/>
      <c r="B776" s="3"/>
      <c r="C776" s="2"/>
      <c r="D776" s="3"/>
      <c r="G776" s="8"/>
    </row>
    <row r="777">
      <c r="A777" s="3"/>
      <c r="B777" s="3"/>
      <c r="C777" s="2"/>
      <c r="D777" s="3"/>
      <c r="G777" s="8"/>
    </row>
    <row r="778">
      <c r="A778" s="3"/>
      <c r="B778" s="3"/>
      <c r="C778" s="2"/>
      <c r="D778" s="3"/>
      <c r="G778" s="8"/>
    </row>
    <row r="779">
      <c r="A779" s="3"/>
      <c r="B779" s="3"/>
      <c r="C779" s="2"/>
      <c r="D779" s="3"/>
      <c r="G779" s="8"/>
    </row>
    <row r="780">
      <c r="A780" s="3"/>
      <c r="B780" s="3"/>
      <c r="C780" s="2"/>
      <c r="D780" s="3"/>
      <c r="G780" s="8"/>
    </row>
    <row r="781">
      <c r="A781" s="3"/>
      <c r="B781" s="3"/>
      <c r="C781" s="2"/>
      <c r="D781" s="3"/>
      <c r="G781" s="8"/>
    </row>
    <row r="782">
      <c r="A782" s="3"/>
      <c r="B782" s="3"/>
      <c r="C782" s="2"/>
      <c r="D782" s="3"/>
      <c r="G782" s="8"/>
    </row>
    <row r="783">
      <c r="A783" s="3"/>
      <c r="B783" s="3"/>
      <c r="C783" s="2"/>
      <c r="D783" s="3"/>
      <c r="G783" s="8"/>
    </row>
    <row r="784">
      <c r="A784" s="3"/>
      <c r="B784" s="3"/>
      <c r="C784" s="2"/>
      <c r="D784" s="3"/>
      <c r="G784" s="8"/>
    </row>
    <row r="785">
      <c r="A785" s="3"/>
      <c r="B785" s="3"/>
      <c r="C785" s="2"/>
      <c r="D785" s="3"/>
      <c r="G785" s="8"/>
    </row>
    <row r="786">
      <c r="A786" s="3"/>
      <c r="B786" s="3"/>
      <c r="C786" s="2"/>
      <c r="D786" s="3"/>
      <c r="G786" s="8"/>
    </row>
    <row r="787">
      <c r="A787" s="3"/>
      <c r="B787" s="3"/>
      <c r="C787" s="2"/>
      <c r="D787" s="3"/>
      <c r="G787" s="8"/>
    </row>
    <row r="788">
      <c r="A788" s="3"/>
      <c r="B788" s="3"/>
      <c r="C788" s="2"/>
      <c r="D788" s="3"/>
      <c r="G788" s="8"/>
    </row>
    <row r="789">
      <c r="A789" s="3"/>
      <c r="B789" s="3"/>
      <c r="C789" s="2"/>
      <c r="D789" s="3"/>
      <c r="G789" s="8"/>
    </row>
    <row r="790">
      <c r="A790" s="3"/>
      <c r="B790" s="3"/>
      <c r="C790" s="2"/>
      <c r="D790" s="3"/>
      <c r="G790" s="8"/>
    </row>
    <row r="791">
      <c r="A791" s="3"/>
      <c r="B791" s="3"/>
      <c r="C791" s="2"/>
      <c r="D791" s="3"/>
      <c r="G791" s="8"/>
    </row>
    <row r="792">
      <c r="A792" s="3"/>
      <c r="B792" s="3"/>
      <c r="C792" s="2"/>
      <c r="D792" s="3"/>
      <c r="G792" s="8"/>
    </row>
    <row r="793">
      <c r="A793" s="3"/>
      <c r="B793" s="3"/>
      <c r="C793" s="2"/>
      <c r="D793" s="3"/>
      <c r="G793" s="8"/>
    </row>
    <row r="794">
      <c r="A794" s="3"/>
      <c r="B794" s="3"/>
      <c r="C794" s="2"/>
      <c r="D794" s="3"/>
      <c r="G794" s="8"/>
    </row>
    <row r="795">
      <c r="A795" s="3"/>
      <c r="B795" s="3"/>
      <c r="C795" s="2"/>
      <c r="D795" s="3"/>
      <c r="G795" s="8"/>
    </row>
    <row r="796">
      <c r="A796" s="3"/>
      <c r="B796" s="3"/>
      <c r="C796" s="2"/>
      <c r="D796" s="3"/>
      <c r="G796" s="8"/>
    </row>
    <row r="797">
      <c r="A797" s="3"/>
      <c r="B797" s="3"/>
      <c r="C797" s="2"/>
      <c r="D797" s="3"/>
      <c r="G797" s="8"/>
    </row>
    <row r="798">
      <c r="A798" s="3"/>
      <c r="B798" s="3"/>
      <c r="C798" s="2"/>
      <c r="D798" s="3"/>
      <c r="G798" s="8"/>
    </row>
    <row r="799">
      <c r="A799" s="3"/>
      <c r="B799" s="3"/>
      <c r="C799" s="2"/>
      <c r="D799" s="3"/>
      <c r="G799" s="8"/>
    </row>
    <row r="800">
      <c r="A800" s="3"/>
      <c r="B800" s="3"/>
      <c r="C800" s="2"/>
      <c r="D800" s="3"/>
      <c r="G800" s="8"/>
    </row>
    <row r="801">
      <c r="A801" s="3"/>
      <c r="B801" s="3"/>
      <c r="C801" s="2"/>
      <c r="D801" s="3"/>
      <c r="G801" s="8"/>
    </row>
    <row r="802">
      <c r="A802" s="3"/>
      <c r="B802" s="3"/>
      <c r="C802" s="2"/>
      <c r="D802" s="3"/>
      <c r="G802" s="8"/>
    </row>
    <row r="803">
      <c r="A803" s="3"/>
      <c r="B803" s="3"/>
      <c r="C803" s="2"/>
      <c r="D803" s="3"/>
      <c r="G803" s="8"/>
    </row>
    <row r="804">
      <c r="A804" s="3"/>
      <c r="B804" s="3"/>
      <c r="C804" s="2"/>
      <c r="D804" s="3"/>
      <c r="G804" s="8"/>
    </row>
    <row r="805">
      <c r="A805" s="3"/>
      <c r="B805" s="3"/>
      <c r="C805" s="2"/>
      <c r="D805" s="3"/>
      <c r="G805" s="8"/>
    </row>
    <row r="806">
      <c r="A806" s="3"/>
      <c r="B806" s="3"/>
      <c r="C806" s="2"/>
      <c r="D806" s="3"/>
      <c r="G806" s="8"/>
    </row>
    <row r="807">
      <c r="A807" s="3"/>
      <c r="B807" s="3"/>
      <c r="C807" s="2"/>
      <c r="D807" s="3"/>
      <c r="G807" s="8"/>
    </row>
    <row r="808">
      <c r="A808" s="3"/>
      <c r="B808" s="3"/>
      <c r="C808" s="2"/>
      <c r="D808" s="3"/>
      <c r="G808" s="8"/>
    </row>
    <row r="809">
      <c r="A809" s="3"/>
      <c r="B809" s="3"/>
      <c r="C809" s="2"/>
      <c r="D809" s="3"/>
      <c r="G809" s="8"/>
    </row>
    <row r="810">
      <c r="A810" s="3"/>
      <c r="B810" s="3"/>
      <c r="C810" s="2"/>
      <c r="D810" s="3"/>
      <c r="G810" s="8"/>
    </row>
    <row r="811">
      <c r="A811" s="3"/>
      <c r="B811" s="3"/>
      <c r="C811" s="2"/>
      <c r="D811" s="3"/>
      <c r="G811" s="8"/>
    </row>
    <row r="812">
      <c r="A812" s="3"/>
      <c r="B812" s="3"/>
      <c r="C812" s="2"/>
      <c r="D812" s="3"/>
      <c r="G812" s="8"/>
    </row>
    <row r="813">
      <c r="A813" s="3"/>
      <c r="B813" s="3"/>
      <c r="C813" s="2"/>
      <c r="D813" s="3"/>
      <c r="G813" s="8"/>
    </row>
    <row r="814">
      <c r="A814" s="3"/>
      <c r="B814" s="3"/>
      <c r="C814" s="2"/>
      <c r="D814" s="3"/>
      <c r="G814" s="8"/>
    </row>
    <row r="815">
      <c r="A815" s="3"/>
      <c r="B815" s="3"/>
      <c r="C815" s="2"/>
      <c r="D815" s="3"/>
      <c r="G815" s="8"/>
    </row>
    <row r="816">
      <c r="A816" s="3"/>
      <c r="B816" s="3"/>
      <c r="C816" s="2"/>
      <c r="D816" s="3"/>
      <c r="G816" s="8"/>
    </row>
    <row r="817">
      <c r="A817" s="3"/>
      <c r="B817" s="3"/>
      <c r="C817" s="2"/>
      <c r="D817" s="3"/>
      <c r="G817" s="8"/>
    </row>
    <row r="818">
      <c r="A818" s="3"/>
      <c r="B818" s="3"/>
      <c r="C818" s="2"/>
      <c r="D818" s="3"/>
      <c r="G818" s="8"/>
    </row>
    <row r="819">
      <c r="A819" s="3"/>
      <c r="B819" s="3"/>
      <c r="C819" s="2"/>
      <c r="D819" s="3"/>
      <c r="G819" s="8"/>
    </row>
    <row r="820">
      <c r="A820" s="3"/>
      <c r="B820" s="3"/>
      <c r="C820" s="2"/>
      <c r="D820" s="3"/>
      <c r="G820" s="8"/>
    </row>
    <row r="821">
      <c r="A821" s="3"/>
      <c r="B821" s="3"/>
      <c r="C821" s="2"/>
      <c r="D821" s="3"/>
      <c r="G821" s="8"/>
    </row>
    <row r="822">
      <c r="A822" s="3"/>
      <c r="B822" s="3"/>
      <c r="C822" s="2"/>
      <c r="D822" s="3"/>
      <c r="G822" s="8"/>
    </row>
    <row r="823">
      <c r="A823" s="3"/>
      <c r="B823" s="3"/>
      <c r="C823" s="2"/>
      <c r="D823" s="3"/>
      <c r="G823" s="8"/>
    </row>
    <row r="824">
      <c r="A824" s="3"/>
      <c r="B824" s="3"/>
      <c r="C824" s="2"/>
      <c r="D824" s="3"/>
      <c r="G824" s="8"/>
    </row>
    <row r="825">
      <c r="A825" s="3"/>
      <c r="B825" s="3"/>
      <c r="C825" s="2"/>
      <c r="D825" s="3"/>
      <c r="G825" s="8"/>
    </row>
    <row r="826">
      <c r="A826" s="3"/>
      <c r="B826" s="3"/>
      <c r="C826" s="2"/>
      <c r="D826" s="3"/>
      <c r="G826" s="8"/>
    </row>
    <row r="827">
      <c r="A827" s="3"/>
      <c r="B827" s="3"/>
      <c r="C827" s="2"/>
      <c r="D827" s="3"/>
      <c r="G827" s="8"/>
    </row>
    <row r="828">
      <c r="A828" s="3"/>
      <c r="B828" s="3"/>
      <c r="C828" s="2"/>
      <c r="D828" s="3"/>
      <c r="G828" s="8"/>
    </row>
    <row r="829">
      <c r="A829" s="3"/>
      <c r="B829" s="3"/>
      <c r="C829" s="2"/>
      <c r="D829" s="3"/>
      <c r="G829" s="8"/>
    </row>
    <row r="830">
      <c r="A830" s="3"/>
      <c r="B830" s="3"/>
      <c r="C830" s="2"/>
      <c r="D830" s="3"/>
      <c r="G830" s="8"/>
    </row>
    <row r="831">
      <c r="A831" s="3"/>
      <c r="B831" s="3"/>
      <c r="C831" s="2"/>
      <c r="D831" s="3"/>
      <c r="G831" s="8"/>
    </row>
    <row r="832">
      <c r="A832" s="3"/>
      <c r="B832" s="3"/>
      <c r="C832" s="2"/>
      <c r="D832" s="3"/>
      <c r="G832" s="8"/>
    </row>
    <row r="833">
      <c r="A833" s="3"/>
      <c r="B833" s="3"/>
      <c r="C833" s="2"/>
      <c r="D833" s="3"/>
      <c r="G833" s="8"/>
    </row>
    <row r="834">
      <c r="A834" s="3"/>
      <c r="B834" s="3"/>
      <c r="C834" s="2"/>
      <c r="D834" s="3"/>
      <c r="G834" s="8"/>
    </row>
    <row r="835">
      <c r="A835" s="3"/>
      <c r="B835" s="3"/>
      <c r="C835" s="2"/>
      <c r="D835" s="3"/>
      <c r="G835" s="8"/>
    </row>
    <row r="836">
      <c r="A836" s="3"/>
      <c r="B836" s="3"/>
      <c r="C836" s="2"/>
      <c r="D836" s="3"/>
      <c r="G836" s="8"/>
    </row>
    <row r="837">
      <c r="A837" s="3"/>
      <c r="B837" s="3"/>
      <c r="C837" s="2"/>
      <c r="D837" s="3"/>
      <c r="G837" s="8"/>
    </row>
    <row r="838">
      <c r="A838" s="3"/>
      <c r="B838" s="3"/>
      <c r="C838" s="2"/>
      <c r="D838" s="3"/>
      <c r="G838" s="8"/>
    </row>
    <row r="839">
      <c r="A839" s="3"/>
      <c r="B839" s="3"/>
      <c r="C839" s="2"/>
      <c r="D839" s="3"/>
      <c r="G839" s="8"/>
    </row>
    <row r="840">
      <c r="A840" s="3"/>
      <c r="B840" s="3"/>
      <c r="C840" s="2"/>
      <c r="D840" s="3"/>
      <c r="G840" s="8"/>
    </row>
    <row r="841">
      <c r="A841" s="3"/>
      <c r="B841" s="3"/>
      <c r="C841" s="2"/>
      <c r="D841" s="3"/>
      <c r="G841" s="8"/>
    </row>
    <row r="842">
      <c r="A842" s="3"/>
      <c r="B842" s="3"/>
      <c r="C842" s="2"/>
      <c r="D842" s="3"/>
      <c r="G842" s="8"/>
    </row>
    <row r="843">
      <c r="A843" s="3"/>
      <c r="B843" s="3"/>
      <c r="C843" s="2"/>
      <c r="D843" s="3"/>
      <c r="G843" s="8"/>
    </row>
    <row r="844">
      <c r="A844" s="3"/>
      <c r="B844" s="3"/>
      <c r="C844" s="2"/>
      <c r="D844" s="3"/>
      <c r="G844" s="8"/>
    </row>
    <row r="845">
      <c r="A845" s="3"/>
      <c r="B845" s="3"/>
      <c r="C845" s="2"/>
      <c r="D845" s="3"/>
      <c r="G845" s="8"/>
    </row>
    <row r="846">
      <c r="A846" s="3"/>
      <c r="B846" s="3"/>
      <c r="C846" s="2"/>
      <c r="D846" s="3"/>
      <c r="G846" s="8"/>
    </row>
    <row r="847">
      <c r="A847" s="3"/>
      <c r="B847" s="3"/>
      <c r="C847" s="2"/>
      <c r="D847" s="3"/>
      <c r="G847" s="8"/>
    </row>
    <row r="848">
      <c r="A848" s="3"/>
      <c r="B848" s="3"/>
      <c r="C848" s="2"/>
      <c r="D848" s="3"/>
      <c r="G848" s="8"/>
    </row>
    <row r="849">
      <c r="A849" s="3"/>
      <c r="B849" s="3"/>
      <c r="C849" s="2"/>
      <c r="D849" s="3"/>
      <c r="G849" s="8"/>
    </row>
    <row r="850">
      <c r="A850" s="3"/>
      <c r="B850" s="3"/>
      <c r="C850" s="2"/>
      <c r="D850" s="3"/>
      <c r="G850" s="8"/>
    </row>
    <row r="851">
      <c r="A851" s="3"/>
      <c r="B851" s="3"/>
      <c r="C851" s="2"/>
      <c r="D851" s="3"/>
      <c r="G851" s="8"/>
    </row>
    <row r="852">
      <c r="A852" s="3"/>
      <c r="B852" s="3"/>
      <c r="C852" s="2"/>
      <c r="D852" s="3"/>
      <c r="G852" s="8"/>
    </row>
    <row r="853">
      <c r="A853" s="3"/>
      <c r="B853" s="3"/>
      <c r="C853" s="2"/>
      <c r="D853" s="3"/>
      <c r="G853" s="8"/>
    </row>
    <row r="854">
      <c r="A854" s="3"/>
      <c r="B854" s="3"/>
      <c r="C854" s="2"/>
      <c r="D854" s="3"/>
      <c r="G854" s="8"/>
    </row>
    <row r="855">
      <c r="A855" s="3"/>
      <c r="B855" s="3"/>
      <c r="C855" s="2"/>
      <c r="D855" s="3"/>
      <c r="G855" s="8"/>
    </row>
    <row r="856">
      <c r="A856" s="3"/>
      <c r="B856" s="3"/>
      <c r="C856" s="2"/>
      <c r="D856" s="3"/>
      <c r="G856" s="8"/>
    </row>
    <row r="857">
      <c r="A857" s="3"/>
      <c r="B857" s="3"/>
      <c r="C857" s="2"/>
      <c r="D857" s="3"/>
      <c r="G857" s="8"/>
    </row>
    <row r="858">
      <c r="A858" s="3"/>
      <c r="B858" s="3"/>
      <c r="C858" s="2"/>
      <c r="D858" s="3"/>
      <c r="G858" s="8"/>
    </row>
    <row r="859">
      <c r="A859" s="3"/>
      <c r="B859" s="3"/>
      <c r="C859" s="2"/>
      <c r="D859" s="3"/>
      <c r="G859" s="8"/>
    </row>
    <row r="860">
      <c r="A860" s="3"/>
      <c r="B860" s="3"/>
      <c r="C860" s="2"/>
      <c r="D860" s="3"/>
      <c r="G860" s="8"/>
    </row>
    <row r="861">
      <c r="A861" s="3"/>
      <c r="B861" s="3"/>
      <c r="C861" s="2"/>
      <c r="D861" s="3"/>
      <c r="G861" s="8"/>
    </row>
    <row r="862">
      <c r="A862" s="3"/>
      <c r="B862" s="3"/>
      <c r="C862" s="2"/>
      <c r="D862" s="3"/>
      <c r="G862" s="8"/>
    </row>
    <row r="863">
      <c r="A863" s="3"/>
      <c r="B863" s="3"/>
      <c r="C863" s="2"/>
      <c r="D863" s="3"/>
      <c r="G863" s="8"/>
    </row>
    <row r="864">
      <c r="A864" s="3"/>
      <c r="B864" s="3"/>
      <c r="C864" s="2"/>
      <c r="D864" s="3"/>
      <c r="G864" s="8"/>
    </row>
    <row r="865">
      <c r="A865" s="3"/>
      <c r="B865" s="3"/>
      <c r="C865" s="2"/>
      <c r="D865" s="3"/>
      <c r="G865" s="8"/>
    </row>
    <row r="866">
      <c r="A866" s="3"/>
      <c r="B866" s="3"/>
      <c r="C866" s="2"/>
      <c r="D866" s="3"/>
      <c r="G866" s="8"/>
    </row>
    <row r="867">
      <c r="A867" s="3"/>
      <c r="B867" s="3"/>
      <c r="C867" s="2"/>
      <c r="D867" s="3"/>
      <c r="G867" s="8"/>
    </row>
    <row r="868">
      <c r="A868" s="3"/>
      <c r="B868" s="3"/>
      <c r="C868" s="2"/>
      <c r="D868" s="3"/>
      <c r="G868" s="8"/>
    </row>
    <row r="869">
      <c r="A869" s="3"/>
      <c r="B869" s="3"/>
      <c r="C869" s="2"/>
      <c r="D869" s="3"/>
      <c r="G869" s="8"/>
    </row>
    <row r="870">
      <c r="A870" s="3"/>
      <c r="B870" s="3"/>
      <c r="C870" s="2"/>
      <c r="D870" s="3"/>
      <c r="G870" s="8"/>
    </row>
    <row r="871">
      <c r="A871" s="3"/>
      <c r="B871" s="3"/>
      <c r="C871" s="2"/>
      <c r="D871" s="3"/>
      <c r="G871" s="8"/>
    </row>
    <row r="872">
      <c r="A872" s="3"/>
      <c r="B872" s="3"/>
      <c r="C872" s="2"/>
      <c r="D872" s="3"/>
      <c r="G872" s="8"/>
    </row>
    <row r="873">
      <c r="A873" s="3"/>
      <c r="B873" s="3"/>
      <c r="C873" s="2"/>
      <c r="D873" s="3"/>
      <c r="G873" s="8"/>
    </row>
    <row r="874">
      <c r="A874" s="3"/>
      <c r="B874" s="3"/>
      <c r="C874" s="2"/>
      <c r="D874" s="3"/>
      <c r="G874" s="8"/>
    </row>
    <row r="875">
      <c r="A875" s="3"/>
      <c r="B875" s="3"/>
      <c r="C875" s="2"/>
      <c r="D875" s="3"/>
      <c r="G875" s="8"/>
    </row>
    <row r="876">
      <c r="A876" s="3"/>
      <c r="B876" s="3"/>
      <c r="C876" s="2"/>
      <c r="D876" s="3"/>
      <c r="G876" s="8"/>
    </row>
    <row r="877">
      <c r="A877" s="3"/>
      <c r="B877" s="3"/>
      <c r="C877" s="2"/>
      <c r="D877" s="3"/>
      <c r="G877" s="8"/>
    </row>
    <row r="878">
      <c r="A878" s="3"/>
      <c r="B878" s="3"/>
      <c r="C878" s="2"/>
      <c r="D878" s="3"/>
      <c r="G878" s="8"/>
    </row>
    <row r="879">
      <c r="A879" s="3"/>
      <c r="B879" s="3"/>
      <c r="C879" s="2"/>
      <c r="D879" s="3"/>
      <c r="G879" s="8"/>
    </row>
    <row r="880">
      <c r="A880" s="3"/>
      <c r="B880" s="3"/>
      <c r="C880" s="2"/>
      <c r="D880" s="3"/>
      <c r="G880" s="8"/>
    </row>
    <row r="881">
      <c r="A881" s="3"/>
      <c r="B881" s="3"/>
      <c r="C881" s="2"/>
      <c r="D881" s="3"/>
      <c r="G881" s="8"/>
    </row>
    <row r="882">
      <c r="A882" s="3"/>
      <c r="B882" s="3"/>
      <c r="C882" s="2"/>
      <c r="D882" s="3"/>
      <c r="G882" s="8"/>
    </row>
    <row r="883">
      <c r="A883" s="3"/>
      <c r="B883" s="3"/>
      <c r="C883" s="2"/>
      <c r="D883" s="3"/>
      <c r="G883" s="8"/>
    </row>
    <row r="884">
      <c r="A884" s="3"/>
      <c r="B884" s="3"/>
      <c r="C884" s="2"/>
      <c r="D884" s="3"/>
      <c r="G884" s="8"/>
    </row>
    <row r="885">
      <c r="A885" s="3"/>
      <c r="B885" s="3"/>
      <c r="C885" s="2"/>
      <c r="D885" s="3"/>
      <c r="G885" s="8"/>
    </row>
    <row r="886">
      <c r="A886" s="3"/>
      <c r="B886" s="3"/>
      <c r="C886" s="2"/>
      <c r="D886" s="3"/>
      <c r="G886" s="8"/>
    </row>
    <row r="887">
      <c r="A887" s="3"/>
      <c r="B887" s="3"/>
      <c r="C887" s="2"/>
      <c r="D887" s="3"/>
      <c r="G887" s="8"/>
    </row>
    <row r="888">
      <c r="A888" s="3"/>
      <c r="B888" s="3"/>
      <c r="C888" s="2"/>
      <c r="D888" s="3"/>
      <c r="G888" s="8"/>
    </row>
    <row r="889">
      <c r="A889" s="3"/>
      <c r="B889" s="3"/>
      <c r="C889" s="2"/>
      <c r="D889" s="3"/>
      <c r="G889" s="8"/>
    </row>
    <row r="890">
      <c r="A890" s="3"/>
      <c r="B890" s="3"/>
      <c r="C890" s="2"/>
      <c r="D890" s="3"/>
      <c r="G890" s="8"/>
    </row>
    <row r="891">
      <c r="A891" s="3"/>
      <c r="B891" s="3"/>
      <c r="C891" s="2"/>
      <c r="D891" s="3"/>
      <c r="G891" s="8"/>
    </row>
    <row r="892">
      <c r="A892" s="3"/>
      <c r="B892" s="3"/>
      <c r="C892" s="2"/>
      <c r="D892" s="3"/>
      <c r="G892" s="8"/>
    </row>
    <row r="893">
      <c r="A893" s="3"/>
      <c r="B893" s="3"/>
      <c r="C893" s="2"/>
      <c r="D893" s="3"/>
      <c r="G893" s="8"/>
    </row>
    <row r="894">
      <c r="A894" s="3"/>
      <c r="B894" s="3"/>
      <c r="C894" s="2"/>
      <c r="D894" s="3"/>
      <c r="G894" s="8"/>
    </row>
    <row r="895">
      <c r="A895" s="3"/>
      <c r="B895" s="3"/>
      <c r="C895" s="2"/>
      <c r="D895" s="3"/>
      <c r="G895" s="8"/>
    </row>
    <row r="896">
      <c r="A896" s="3"/>
      <c r="B896" s="3"/>
      <c r="C896" s="2"/>
      <c r="D896" s="3"/>
      <c r="G896" s="8"/>
    </row>
    <row r="897">
      <c r="A897" s="3"/>
      <c r="B897" s="3"/>
      <c r="C897" s="2"/>
      <c r="D897" s="3"/>
      <c r="G897" s="8"/>
    </row>
    <row r="898">
      <c r="A898" s="3"/>
      <c r="B898" s="3"/>
      <c r="C898" s="2"/>
      <c r="D898" s="3"/>
      <c r="G898" s="8"/>
    </row>
    <row r="899">
      <c r="A899" s="3"/>
      <c r="B899" s="3"/>
      <c r="C899" s="2"/>
      <c r="D899" s="3"/>
      <c r="G899" s="8"/>
    </row>
    <row r="900">
      <c r="A900" s="3"/>
      <c r="B900" s="3"/>
      <c r="C900" s="2"/>
      <c r="D900" s="3"/>
      <c r="G900" s="8"/>
    </row>
    <row r="901">
      <c r="A901" s="3"/>
      <c r="B901" s="3"/>
      <c r="C901" s="2"/>
      <c r="D901" s="3"/>
      <c r="G901" s="8"/>
    </row>
    <row r="902">
      <c r="A902" s="3"/>
      <c r="B902" s="3"/>
      <c r="C902" s="2"/>
      <c r="D902" s="3"/>
      <c r="G902" s="8"/>
    </row>
    <row r="903">
      <c r="A903" s="3"/>
      <c r="B903" s="3"/>
      <c r="C903" s="2"/>
      <c r="D903" s="3"/>
      <c r="G903" s="8"/>
    </row>
    <row r="904">
      <c r="A904" s="3"/>
      <c r="B904" s="3"/>
      <c r="C904" s="2"/>
      <c r="D904" s="3"/>
      <c r="G904" s="8"/>
    </row>
    <row r="905">
      <c r="A905" s="3"/>
      <c r="B905" s="3"/>
      <c r="C905" s="2"/>
      <c r="D905" s="3"/>
      <c r="G905" s="8"/>
    </row>
    <row r="906">
      <c r="A906" s="3"/>
      <c r="B906" s="3"/>
      <c r="C906" s="2"/>
      <c r="D906" s="3"/>
      <c r="G906" s="8"/>
    </row>
    <row r="907">
      <c r="A907" s="3"/>
      <c r="B907" s="3"/>
      <c r="C907" s="2"/>
      <c r="D907" s="3"/>
      <c r="G907" s="8"/>
    </row>
    <row r="908">
      <c r="A908" s="3"/>
      <c r="B908" s="3"/>
      <c r="C908" s="2"/>
      <c r="D908" s="3"/>
      <c r="G908" s="8"/>
    </row>
    <row r="909">
      <c r="A909" s="3"/>
      <c r="B909" s="3"/>
      <c r="C909" s="2"/>
      <c r="D909" s="3"/>
      <c r="G909" s="8"/>
    </row>
    <row r="910">
      <c r="A910" s="3"/>
      <c r="B910" s="3"/>
      <c r="C910" s="2"/>
      <c r="D910" s="3"/>
      <c r="G910" s="8"/>
    </row>
    <row r="911">
      <c r="A911" s="3"/>
      <c r="B911" s="3"/>
      <c r="C911" s="2"/>
      <c r="D911" s="3"/>
      <c r="G911" s="8"/>
    </row>
    <row r="912">
      <c r="A912" s="3"/>
      <c r="B912" s="3"/>
      <c r="C912" s="2"/>
      <c r="D912" s="3"/>
      <c r="G912" s="8"/>
    </row>
    <row r="913">
      <c r="A913" s="3"/>
      <c r="B913" s="3"/>
      <c r="C913" s="2"/>
      <c r="D913" s="3"/>
      <c r="G913" s="8"/>
    </row>
    <row r="914">
      <c r="A914" s="3"/>
      <c r="B914" s="3"/>
      <c r="C914" s="2"/>
      <c r="D914" s="3"/>
      <c r="G914" s="8"/>
    </row>
    <row r="915">
      <c r="A915" s="3"/>
      <c r="B915" s="3"/>
      <c r="C915" s="2"/>
      <c r="D915" s="3"/>
      <c r="G915" s="8"/>
    </row>
    <row r="916">
      <c r="A916" s="3"/>
      <c r="B916" s="3"/>
      <c r="C916" s="2"/>
      <c r="D916" s="3"/>
      <c r="G916" s="8"/>
    </row>
    <row r="917">
      <c r="A917" s="3"/>
      <c r="B917" s="3"/>
      <c r="C917" s="2"/>
      <c r="D917" s="3"/>
      <c r="G917" s="8"/>
    </row>
    <row r="918">
      <c r="A918" s="3"/>
      <c r="B918" s="3"/>
      <c r="C918" s="2"/>
      <c r="D918" s="3"/>
      <c r="G918" s="8"/>
    </row>
    <row r="919">
      <c r="A919" s="3"/>
      <c r="B919" s="3"/>
      <c r="C919" s="2"/>
      <c r="D919" s="3"/>
      <c r="G919" s="8"/>
    </row>
    <row r="920">
      <c r="A920" s="3"/>
      <c r="B920" s="3"/>
      <c r="C920" s="2"/>
      <c r="D920" s="3"/>
      <c r="G920" s="8"/>
    </row>
    <row r="921">
      <c r="A921" s="3"/>
      <c r="B921" s="3"/>
      <c r="C921" s="2"/>
      <c r="D921" s="3"/>
      <c r="G921" s="8"/>
    </row>
    <row r="922">
      <c r="A922" s="3"/>
      <c r="B922" s="3"/>
      <c r="C922" s="2"/>
      <c r="D922" s="3"/>
      <c r="G922" s="8"/>
    </row>
    <row r="923">
      <c r="A923" s="3"/>
      <c r="B923" s="3"/>
      <c r="C923" s="2"/>
      <c r="D923" s="3"/>
      <c r="G923" s="8"/>
    </row>
    <row r="924">
      <c r="A924" s="3"/>
      <c r="B924" s="3"/>
      <c r="C924" s="2"/>
      <c r="D924" s="3"/>
      <c r="G924" s="8"/>
    </row>
    <row r="925">
      <c r="A925" s="3"/>
      <c r="B925" s="3"/>
      <c r="C925" s="2"/>
      <c r="D925" s="3"/>
      <c r="G925" s="8"/>
    </row>
    <row r="926">
      <c r="A926" s="3"/>
      <c r="B926" s="3"/>
      <c r="C926" s="2"/>
      <c r="D926" s="3"/>
      <c r="G926" s="8"/>
    </row>
    <row r="927">
      <c r="A927" s="3"/>
      <c r="B927" s="3"/>
      <c r="C927" s="2"/>
      <c r="D927" s="3"/>
      <c r="G927" s="8"/>
    </row>
    <row r="928">
      <c r="A928" s="3"/>
      <c r="B928" s="3"/>
      <c r="C928" s="2"/>
      <c r="D928" s="3"/>
      <c r="G928" s="8"/>
    </row>
    <row r="929">
      <c r="A929" s="3"/>
      <c r="B929" s="3"/>
      <c r="C929" s="2"/>
      <c r="D929" s="3"/>
      <c r="G929" s="8"/>
    </row>
    <row r="930">
      <c r="A930" s="3"/>
      <c r="B930" s="3"/>
      <c r="C930" s="2"/>
      <c r="D930" s="3"/>
      <c r="G930" s="8"/>
    </row>
    <row r="931">
      <c r="A931" s="3"/>
      <c r="B931" s="3"/>
      <c r="C931" s="2"/>
      <c r="D931" s="3"/>
      <c r="G931" s="8"/>
    </row>
    <row r="932">
      <c r="A932" s="3"/>
      <c r="B932" s="3"/>
      <c r="C932" s="2"/>
      <c r="D932" s="3"/>
      <c r="G932" s="8"/>
    </row>
    <row r="933">
      <c r="A933" s="3"/>
      <c r="B933" s="3"/>
      <c r="C933" s="2"/>
      <c r="D933" s="3"/>
      <c r="G933" s="8"/>
    </row>
    <row r="934">
      <c r="A934" s="3"/>
      <c r="B934" s="3"/>
      <c r="C934" s="2"/>
      <c r="D934" s="3"/>
      <c r="G934" s="8"/>
    </row>
    <row r="935">
      <c r="A935" s="3"/>
      <c r="B935" s="3"/>
      <c r="C935" s="2"/>
      <c r="D935" s="3"/>
      <c r="G935" s="8"/>
    </row>
    <row r="936">
      <c r="A936" s="3"/>
      <c r="B936" s="3"/>
      <c r="C936" s="2"/>
      <c r="D936" s="3"/>
      <c r="G936" s="8"/>
    </row>
    <row r="937">
      <c r="A937" s="3"/>
      <c r="B937" s="3"/>
      <c r="C937" s="2"/>
      <c r="D937" s="3"/>
      <c r="G937" s="8"/>
    </row>
    <row r="938">
      <c r="A938" s="3"/>
      <c r="B938" s="3"/>
      <c r="C938" s="2"/>
      <c r="D938" s="3"/>
      <c r="G938" s="8"/>
    </row>
    <row r="939">
      <c r="A939" s="3"/>
      <c r="B939" s="3"/>
      <c r="C939" s="2"/>
      <c r="D939" s="3"/>
      <c r="G939" s="8"/>
    </row>
    <row r="940">
      <c r="A940" s="3"/>
      <c r="B940" s="3"/>
      <c r="C940" s="2"/>
      <c r="D940" s="3"/>
      <c r="G940" s="8"/>
    </row>
    <row r="941">
      <c r="A941" s="3"/>
      <c r="B941" s="3"/>
      <c r="C941" s="2"/>
      <c r="D941" s="3"/>
      <c r="G941" s="8"/>
    </row>
    <row r="942">
      <c r="A942" s="3"/>
      <c r="B942" s="3"/>
      <c r="C942" s="2"/>
      <c r="D942" s="3"/>
      <c r="G942" s="8"/>
    </row>
    <row r="943">
      <c r="A943" s="3"/>
      <c r="B943" s="3"/>
      <c r="C943" s="2"/>
      <c r="D943" s="3"/>
      <c r="G943" s="8"/>
    </row>
    <row r="944">
      <c r="A944" s="3"/>
      <c r="B944" s="3"/>
      <c r="C944" s="2"/>
      <c r="D944" s="3"/>
      <c r="G944" s="8"/>
    </row>
    <row r="945">
      <c r="A945" s="3"/>
      <c r="B945" s="3"/>
      <c r="C945" s="2"/>
      <c r="D945" s="3"/>
      <c r="G945" s="8"/>
    </row>
    <row r="946">
      <c r="A946" s="3"/>
      <c r="B946" s="3"/>
      <c r="C946" s="2"/>
      <c r="D946" s="3"/>
      <c r="G946" s="8"/>
    </row>
    <row r="947">
      <c r="A947" s="3"/>
      <c r="B947" s="3"/>
      <c r="C947" s="2"/>
      <c r="D947" s="3"/>
      <c r="G947" s="8"/>
    </row>
    <row r="948">
      <c r="A948" s="3"/>
      <c r="B948" s="3"/>
      <c r="C948" s="2"/>
      <c r="D948" s="3"/>
      <c r="G948" s="8"/>
    </row>
    <row r="949">
      <c r="A949" s="3"/>
      <c r="B949" s="3"/>
      <c r="C949" s="2"/>
      <c r="D949" s="3"/>
      <c r="G949" s="8"/>
    </row>
    <row r="950">
      <c r="A950" s="3"/>
      <c r="B950" s="3"/>
      <c r="C950" s="2"/>
      <c r="D950" s="3"/>
      <c r="G950" s="8"/>
    </row>
    <row r="951">
      <c r="A951" s="3"/>
      <c r="B951" s="3"/>
      <c r="C951" s="2"/>
      <c r="D951" s="3"/>
      <c r="G951" s="8"/>
    </row>
    <row r="952">
      <c r="A952" s="3"/>
      <c r="B952" s="3"/>
      <c r="C952" s="2"/>
      <c r="D952" s="3"/>
      <c r="G952" s="8"/>
    </row>
    <row r="953">
      <c r="A953" s="3"/>
      <c r="B953" s="3"/>
      <c r="C953" s="2"/>
      <c r="D953" s="3"/>
      <c r="G953" s="8"/>
    </row>
    <row r="954">
      <c r="A954" s="3"/>
      <c r="B954" s="3"/>
      <c r="C954" s="2"/>
      <c r="D954" s="3"/>
      <c r="G954" s="8"/>
    </row>
    <row r="955">
      <c r="A955" s="3"/>
      <c r="B955" s="3"/>
      <c r="C955" s="2"/>
      <c r="D955" s="3"/>
      <c r="G955" s="8"/>
    </row>
    <row r="956">
      <c r="A956" s="3"/>
      <c r="B956" s="3"/>
      <c r="C956" s="2"/>
      <c r="D956" s="3"/>
      <c r="G956" s="8"/>
    </row>
    <row r="957">
      <c r="A957" s="3"/>
      <c r="B957" s="3"/>
      <c r="C957" s="2"/>
      <c r="D957" s="3"/>
      <c r="G957" s="8"/>
    </row>
    <row r="958">
      <c r="A958" s="3"/>
      <c r="B958" s="3"/>
      <c r="C958" s="2"/>
      <c r="D958" s="3"/>
      <c r="G958" s="8"/>
    </row>
    <row r="959">
      <c r="A959" s="3"/>
      <c r="B959" s="3"/>
      <c r="C959" s="2"/>
      <c r="D959" s="3"/>
      <c r="G959" s="8"/>
    </row>
    <row r="960">
      <c r="A960" s="3"/>
      <c r="B960" s="3"/>
      <c r="C960" s="2"/>
      <c r="D960" s="3"/>
      <c r="G960" s="8"/>
    </row>
    <row r="961">
      <c r="A961" s="3"/>
      <c r="B961" s="3"/>
      <c r="C961" s="2"/>
      <c r="D961" s="3"/>
      <c r="G961" s="8"/>
    </row>
    <row r="962">
      <c r="A962" s="3"/>
      <c r="B962" s="3"/>
      <c r="C962" s="2"/>
      <c r="D962" s="3"/>
      <c r="G962" s="8"/>
    </row>
    <row r="963">
      <c r="A963" s="3"/>
      <c r="B963" s="3"/>
      <c r="C963" s="2"/>
      <c r="D963" s="3"/>
      <c r="G963" s="8"/>
    </row>
    <row r="964">
      <c r="A964" s="3"/>
      <c r="B964" s="3"/>
      <c r="C964" s="2"/>
      <c r="D964" s="3"/>
      <c r="G964" s="8"/>
    </row>
    <row r="965">
      <c r="A965" s="3"/>
      <c r="B965" s="3"/>
      <c r="C965" s="2"/>
      <c r="D965" s="3"/>
      <c r="G965" s="8"/>
    </row>
    <row r="966">
      <c r="A966" s="3"/>
      <c r="B966" s="3"/>
      <c r="C966" s="2"/>
      <c r="D966" s="3"/>
      <c r="G966" s="8"/>
    </row>
    <row r="967">
      <c r="A967" s="3"/>
      <c r="B967" s="3"/>
      <c r="C967" s="2"/>
      <c r="D967" s="3"/>
      <c r="G967" s="8"/>
    </row>
    <row r="968">
      <c r="A968" s="3"/>
      <c r="B968" s="3"/>
      <c r="C968" s="2"/>
      <c r="D968" s="3"/>
      <c r="G968" s="8"/>
    </row>
    <row r="969">
      <c r="A969" s="3"/>
      <c r="B969" s="3"/>
      <c r="C969" s="2"/>
      <c r="D969" s="3"/>
      <c r="G969" s="8"/>
    </row>
    <row r="970">
      <c r="A970" s="3"/>
      <c r="B970" s="3"/>
      <c r="C970" s="2"/>
      <c r="D970" s="3"/>
      <c r="G970" s="8"/>
    </row>
    <row r="971">
      <c r="A971" s="3"/>
      <c r="B971" s="3"/>
      <c r="C971" s="2"/>
      <c r="D971" s="3"/>
      <c r="G971" s="8"/>
    </row>
    <row r="972">
      <c r="A972" s="3"/>
      <c r="B972" s="3"/>
      <c r="C972" s="2"/>
      <c r="D972" s="3"/>
      <c r="G972" s="8"/>
    </row>
    <row r="973">
      <c r="A973" s="3"/>
      <c r="B973" s="3"/>
      <c r="C973" s="2"/>
      <c r="D973" s="3"/>
      <c r="G973" s="8"/>
    </row>
    <row r="974">
      <c r="A974" s="3"/>
      <c r="B974" s="3"/>
      <c r="C974" s="2"/>
      <c r="D974" s="3"/>
      <c r="G974" s="8"/>
    </row>
    <row r="975">
      <c r="A975" s="3"/>
      <c r="B975" s="3"/>
      <c r="C975" s="2"/>
      <c r="D975" s="3"/>
      <c r="G975" s="8"/>
    </row>
    <row r="976">
      <c r="A976" s="3"/>
      <c r="B976" s="3"/>
      <c r="C976" s="2"/>
      <c r="D976" s="3"/>
      <c r="G976" s="8"/>
    </row>
    <row r="977">
      <c r="A977" s="3"/>
      <c r="B977" s="3"/>
      <c r="C977" s="2"/>
      <c r="D977" s="3"/>
      <c r="G977" s="8"/>
    </row>
    <row r="978">
      <c r="A978" s="3"/>
      <c r="B978" s="3"/>
      <c r="C978" s="2"/>
      <c r="D978" s="3"/>
      <c r="G978" s="8"/>
    </row>
    <row r="979">
      <c r="A979" s="3"/>
      <c r="B979" s="3"/>
      <c r="C979" s="2"/>
      <c r="D979" s="3"/>
      <c r="G979" s="8"/>
    </row>
    <row r="980">
      <c r="A980" s="3"/>
      <c r="B980" s="3"/>
      <c r="C980" s="2"/>
      <c r="D980" s="3"/>
      <c r="G980" s="8"/>
    </row>
    <row r="981">
      <c r="A981" s="3"/>
      <c r="B981" s="3"/>
      <c r="C981" s="2"/>
      <c r="D981" s="3"/>
      <c r="G981" s="8"/>
    </row>
    <row r="982">
      <c r="A982" s="3"/>
      <c r="B982" s="3"/>
      <c r="C982" s="2"/>
      <c r="D982" s="3"/>
      <c r="G982" s="8"/>
    </row>
    <row r="983">
      <c r="A983" s="3"/>
      <c r="B983" s="3"/>
      <c r="C983" s="2"/>
      <c r="D983" s="3"/>
      <c r="G983" s="8"/>
    </row>
    <row r="984">
      <c r="A984" s="3"/>
      <c r="B984" s="3"/>
      <c r="C984" s="2"/>
      <c r="D984" s="3"/>
      <c r="G984" s="8"/>
    </row>
    <row r="985">
      <c r="A985" s="3"/>
      <c r="B985" s="3"/>
      <c r="C985" s="2"/>
      <c r="D985" s="3"/>
      <c r="G985" s="8"/>
    </row>
    <row r="986">
      <c r="A986" s="3"/>
      <c r="B986" s="3"/>
      <c r="C986" s="2"/>
      <c r="D986" s="3"/>
      <c r="G986" s="8"/>
    </row>
    <row r="987">
      <c r="A987" s="3"/>
      <c r="B987" s="3"/>
      <c r="C987" s="2"/>
      <c r="D987" s="3"/>
      <c r="G987" s="8"/>
    </row>
    <row r="988">
      <c r="A988" s="3"/>
      <c r="B988" s="3"/>
      <c r="C988" s="2"/>
      <c r="D988" s="3"/>
      <c r="G988" s="8"/>
    </row>
    <row r="989">
      <c r="A989" s="3"/>
      <c r="B989" s="3"/>
      <c r="C989" s="2"/>
      <c r="D989" s="3"/>
      <c r="G989" s="8"/>
    </row>
    <row r="990">
      <c r="A990" s="3"/>
      <c r="B990" s="3"/>
      <c r="C990" s="2"/>
      <c r="D990" s="3"/>
      <c r="G990" s="8"/>
    </row>
    <row r="991">
      <c r="A991" s="3"/>
      <c r="B991" s="3"/>
      <c r="C991" s="2"/>
      <c r="D991" s="3"/>
      <c r="G991" s="8"/>
    </row>
    <row r="992">
      <c r="A992" s="3"/>
      <c r="B992" s="3"/>
      <c r="C992" s="2"/>
      <c r="D992" s="3"/>
      <c r="G992" s="8"/>
    </row>
    <row r="993">
      <c r="A993" s="3"/>
      <c r="B993" s="3"/>
      <c r="C993" s="2"/>
      <c r="D993" s="3"/>
      <c r="G993" s="8"/>
    </row>
    <row r="994">
      <c r="A994" s="3"/>
      <c r="B994" s="3"/>
      <c r="C994" s="2"/>
      <c r="D994" s="3"/>
      <c r="G994" s="8"/>
    </row>
    <row r="995">
      <c r="A995" s="3"/>
      <c r="B995" s="3"/>
      <c r="C995" s="2"/>
      <c r="D995" s="3"/>
      <c r="G995" s="8"/>
    </row>
    <row r="996">
      <c r="A996" s="3"/>
      <c r="B996" s="3"/>
      <c r="C996" s="2"/>
      <c r="D996" s="3"/>
      <c r="G996" s="8"/>
    </row>
    <row r="997">
      <c r="A997" s="3"/>
      <c r="B997" s="3"/>
      <c r="C997" s="2"/>
      <c r="D997" s="3"/>
      <c r="G997" s="8"/>
    </row>
    <row r="998">
      <c r="A998" s="3"/>
      <c r="B998" s="3"/>
      <c r="C998" s="2"/>
      <c r="D998" s="3"/>
      <c r="G998" s="8"/>
    </row>
    <row r="999">
      <c r="A999" s="3"/>
      <c r="B999" s="3"/>
      <c r="C999" s="2"/>
      <c r="D999" s="3"/>
      <c r="G999" s="8"/>
    </row>
    <row r="1000">
      <c r="A1000" s="3"/>
      <c r="B1000" s="3"/>
      <c r="C1000" s="2"/>
      <c r="D1000" s="3"/>
      <c r="G1000" s="8"/>
    </row>
    <row r="1001">
      <c r="A1001" s="3"/>
      <c r="B1001" s="3"/>
      <c r="C1001" s="2"/>
      <c r="D1001" s="3"/>
      <c r="G1001" s="8"/>
    </row>
    <row r="1002">
      <c r="A1002" s="3"/>
      <c r="B1002" s="3"/>
      <c r="C1002" s="2"/>
      <c r="D1002" s="3"/>
      <c r="G1002" s="8"/>
    </row>
    <row r="1003">
      <c r="A1003" s="3"/>
      <c r="B1003" s="3"/>
      <c r="C1003" s="2"/>
      <c r="D1003" s="3"/>
      <c r="G1003" s="8"/>
    </row>
    <row r="1004">
      <c r="A1004" s="3"/>
      <c r="B1004" s="3"/>
      <c r="C1004" s="2"/>
      <c r="D1004" s="3"/>
      <c r="G1004" s="8"/>
    </row>
    <row r="1005">
      <c r="A1005" s="3"/>
      <c r="B1005" s="3"/>
      <c r="C1005" s="2"/>
      <c r="D1005" s="3"/>
      <c r="G1005" s="8"/>
    </row>
  </sheetData>
  <mergeCells count="10">
    <mergeCell ref="B115:E119"/>
    <mergeCell ref="B122:E138"/>
    <mergeCell ref="F40:I52"/>
    <mergeCell ref="F54:I66"/>
    <mergeCell ref="F69:I73"/>
    <mergeCell ref="F75:I79"/>
    <mergeCell ref="F81:I86"/>
    <mergeCell ref="G98:K112"/>
    <mergeCell ref="G115:I119"/>
    <mergeCell ref="G122:K130"/>
  </mergeCells>
  <hyperlinks>
    <hyperlink r:id="rId1" ref="B40"/>
    <hyperlink r:id="rId2" ref="C40"/>
    <hyperlink r:id="rId3" ref="A97"/>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23.0"/>
    <col customWidth="1" min="6" max="6" width="28.13"/>
    <col customWidth="1" min="11" max="11" width="28.88"/>
    <col customWidth="1" min="13" max="13" width="13.0"/>
  </cols>
  <sheetData>
    <row r="1">
      <c r="A1" s="1" t="s">
        <v>0</v>
      </c>
      <c r="C1" s="2"/>
      <c r="D1" s="2"/>
    </row>
    <row r="2">
      <c r="C2" s="2"/>
      <c r="D2" s="2"/>
    </row>
    <row r="3">
      <c r="A3" s="4" t="s">
        <v>3</v>
      </c>
      <c r="B3" s="5" t="s">
        <v>4</v>
      </c>
      <c r="C3" s="6" t="s">
        <v>5</v>
      </c>
      <c r="D3" s="6" t="s">
        <v>6</v>
      </c>
    </row>
    <row r="4">
      <c r="A4" s="7" t="s">
        <v>7</v>
      </c>
      <c r="B4" s="9" t="s">
        <v>8</v>
      </c>
      <c r="C4" s="21">
        <f>500*A5</f>
        <v>500</v>
      </c>
      <c r="D4" s="22" t="s">
        <v>17</v>
      </c>
    </row>
    <row r="5">
      <c r="A5" s="24">
        <v>1.0</v>
      </c>
      <c r="B5" s="25" t="s">
        <v>18</v>
      </c>
      <c r="C5" s="28">
        <f>2*A5</f>
        <v>2</v>
      </c>
      <c r="D5" s="28" t="s">
        <v>19</v>
      </c>
    </row>
    <row r="6">
      <c r="A6" s="3"/>
      <c r="B6" s="31" t="s">
        <v>23</v>
      </c>
      <c r="C6" s="28">
        <f>400*A5</f>
        <v>400</v>
      </c>
      <c r="D6" s="28" t="s">
        <v>17</v>
      </c>
    </row>
    <row r="7">
      <c r="A7" s="3"/>
      <c r="B7" s="31" t="s">
        <v>26</v>
      </c>
      <c r="C7" s="28">
        <f>3*A5</f>
        <v>3</v>
      </c>
      <c r="D7" s="40" t="s">
        <v>19</v>
      </c>
    </row>
    <row r="8">
      <c r="A8" s="3"/>
      <c r="B8" s="31" t="s">
        <v>33</v>
      </c>
      <c r="C8" s="28">
        <f>5*A5</f>
        <v>5</v>
      </c>
      <c r="D8" s="28" t="s">
        <v>19</v>
      </c>
    </row>
    <row r="9">
      <c r="A9" s="3"/>
      <c r="B9" s="42" t="s">
        <v>36</v>
      </c>
      <c r="C9" s="46">
        <f>1*A5</f>
        <v>1</v>
      </c>
      <c r="D9" s="49" t="s">
        <v>19</v>
      </c>
    </row>
    <row r="10">
      <c r="A10" s="50"/>
      <c r="B10" s="51"/>
      <c r="C10" s="52"/>
      <c r="D10" s="12"/>
    </row>
    <row r="11">
      <c r="A11" s="57" t="s">
        <v>41</v>
      </c>
      <c r="B11" s="51"/>
      <c r="C11" s="52"/>
      <c r="D11" s="12"/>
    </row>
    <row r="12">
      <c r="A12" s="4" t="s">
        <v>49</v>
      </c>
      <c r="B12" s="5" t="s">
        <v>4</v>
      </c>
      <c r="C12" s="6" t="s">
        <v>5</v>
      </c>
      <c r="D12" s="6" t="s">
        <v>6</v>
      </c>
    </row>
    <row r="13">
      <c r="A13" s="7" t="s">
        <v>7</v>
      </c>
      <c r="B13" s="9" t="s">
        <v>52</v>
      </c>
      <c r="C13" s="21">
        <f>66.6666666666666*A14</f>
        <v>200</v>
      </c>
      <c r="D13" s="22" t="s">
        <v>17</v>
      </c>
      <c r="F13" s="62" t="s">
        <v>56</v>
      </c>
      <c r="G13" s="34"/>
      <c r="H13" s="34"/>
      <c r="I13" s="34"/>
      <c r="J13" s="34"/>
      <c r="K13" s="36"/>
    </row>
    <row r="14">
      <c r="A14" s="24">
        <v>3.0</v>
      </c>
      <c r="B14" s="31" t="s">
        <v>59</v>
      </c>
      <c r="C14" s="28">
        <f>0.666666666666666*A14</f>
        <v>2</v>
      </c>
      <c r="D14" s="28" t="s">
        <v>19</v>
      </c>
      <c r="F14" s="45"/>
      <c r="K14" s="47"/>
    </row>
    <row r="15">
      <c r="B15" s="65" t="s">
        <v>45</v>
      </c>
      <c r="C15" s="66" t="s">
        <v>65</v>
      </c>
      <c r="D15" s="66" t="s">
        <v>66</v>
      </c>
      <c r="F15" s="45"/>
      <c r="K15" s="47"/>
    </row>
    <row r="16">
      <c r="B16" s="67" t="s">
        <v>68</v>
      </c>
      <c r="C16" s="68"/>
      <c r="D16" s="68"/>
      <c r="F16" s="54"/>
      <c r="G16" s="55"/>
      <c r="H16" s="55"/>
      <c r="I16" s="55"/>
      <c r="J16" s="55"/>
      <c r="K16" s="56"/>
    </row>
    <row r="17">
      <c r="B17" s="67" t="s">
        <v>69</v>
      </c>
      <c r="C17" s="68"/>
      <c r="D17" s="68"/>
    </row>
    <row r="18">
      <c r="B18" s="71" t="s">
        <v>71</v>
      </c>
      <c r="C18" s="72"/>
      <c r="D18" s="72"/>
    </row>
    <row r="19">
      <c r="B19" s="73"/>
      <c r="C19" s="75"/>
      <c r="D19" s="77"/>
    </row>
    <row r="20">
      <c r="C20" s="2"/>
      <c r="D20" s="2"/>
    </row>
    <row r="21">
      <c r="A21" s="57" t="s">
        <v>76</v>
      </c>
      <c r="C21" s="2"/>
      <c r="D21" s="2"/>
    </row>
    <row r="22">
      <c r="A22" s="4" t="s">
        <v>86</v>
      </c>
      <c r="B22" s="5" t="s">
        <v>4</v>
      </c>
      <c r="C22" s="6" t="s">
        <v>5</v>
      </c>
      <c r="D22" s="6" t="s">
        <v>6</v>
      </c>
    </row>
    <row r="23">
      <c r="A23" s="7" t="s">
        <v>7</v>
      </c>
      <c r="B23" s="81" t="s">
        <v>90</v>
      </c>
      <c r="C23" s="77">
        <f>4*A24</f>
        <v>4</v>
      </c>
      <c r="D23" s="83" t="s">
        <v>19</v>
      </c>
      <c r="F23" s="86" t="s">
        <v>94</v>
      </c>
      <c r="G23" s="34"/>
      <c r="H23" s="34"/>
      <c r="I23" s="36"/>
    </row>
    <row r="24">
      <c r="A24" s="88">
        <v>1.0</v>
      </c>
      <c r="B24" s="90" t="s">
        <v>59</v>
      </c>
      <c r="C24" s="12">
        <f>1*A24</f>
        <v>1</v>
      </c>
      <c r="D24" s="93" t="s">
        <v>19</v>
      </c>
      <c r="F24" s="45"/>
      <c r="I24" s="47"/>
    </row>
    <row r="25">
      <c r="B25" s="94" t="s">
        <v>104</v>
      </c>
      <c r="C25" s="95"/>
      <c r="D25" s="96"/>
      <c r="F25" s="54"/>
      <c r="G25" s="55"/>
      <c r="H25" s="55"/>
      <c r="I25" s="56"/>
    </row>
    <row r="26">
      <c r="A26" s="12"/>
      <c r="B26" s="10"/>
      <c r="C26" s="12"/>
      <c r="D26" s="12"/>
    </row>
    <row r="27">
      <c r="B27" s="10"/>
      <c r="C27" s="12"/>
      <c r="D27" s="12"/>
    </row>
    <row r="28">
      <c r="B28" s="10"/>
      <c r="C28" s="12"/>
      <c r="D28" s="12"/>
    </row>
    <row r="29">
      <c r="C29" s="2"/>
      <c r="D29" s="2"/>
    </row>
    <row r="30">
      <c r="C30" s="2"/>
      <c r="D30" s="2"/>
    </row>
    <row r="31">
      <c r="A31" s="57" t="s">
        <v>112</v>
      </c>
      <c r="B31" s="17"/>
      <c r="C31" s="6"/>
      <c r="D31" s="6"/>
    </row>
    <row r="32">
      <c r="A32" s="101" t="s">
        <v>121</v>
      </c>
      <c r="B32" s="14" t="s">
        <v>124</v>
      </c>
      <c r="C32" s="2"/>
      <c r="D32" s="2"/>
    </row>
    <row r="33">
      <c r="A33" s="7" t="s">
        <v>7</v>
      </c>
      <c r="B33" s="17" t="s">
        <v>4</v>
      </c>
      <c r="C33" s="6" t="s">
        <v>5</v>
      </c>
      <c r="D33" s="6" t="s">
        <v>6</v>
      </c>
    </row>
    <row r="34">
      <c r="A34" s="88">
        <v>4.0</v>
      </c>
      <c r="B34" s="103" t="s">
        <v>127</v>
      </c>
      <c r="C34" s="22">
        <f>1*A34</f>
        <v>4</v>
      </c>
      <c r="D34" s="22" t="s">
        <v>19</v>
      </c>
    </row>
    <row r="35">
      <c r="B35" s="85" t="s">
        <v>130</v>
      </c>
      <c r="C35" s="28">
        <f>100*A34</f>
        <v>400</v>
      </c>
      <c r="D35" s="28" t="s">
        <v>17</v>
      </c>
    </row>
    <row r="36">
      <c r="B36" s="85" t="s">
        <v>18</v>
      </c>
      <c r="C36" s="82">
        <f>0.5*A34</f>
        <v>2</v>
      </c>
      <c r="D36" s="28" t="s">
        <v>19</v>
      </c>
    </row>
    <row r="37">
      <c r="B37" s="85" t="s">
        <v>137</v>
      </c>
      <c r="C37" s="82">
        <f>0.5*A34</f>
        <v>2</v>
      </c>
      <c r="D37" s="28" t="s">
        <v>19</v>
      </c>
    </row>
    <row r="38">
      <c r="B38" s="85" t="s">
        <v>140</v>
      </c>
      <c r="C38" s="82">
        <f>0.25*A34</f>
        <v>1</v>
      </c>
      <c r="D38" s="28" t="s">
        <v>19</v>
      </c>
    </row>
    <row r="39">
      <c r="B39" s="85" t="s">
        <v>141</v>
      </c>
      <c r="C39" s="82">
        <f>25*A34</f>
        <v>100</v>
      </c>
      <c r="D39" s="28" t="s">
        <v>17</v>
      </c>
    </row>
    <row r="40">
      <c r="A40" s="119"/>
      <c r="B40" s="87" t="s">
        <v>147</v>
      </c>
      <c r="C40" s="89">
        <f>0.25*A34</f>
        <v>1</v>
      </c>
      <c r="D40" s="46" t="s">
        <v>19</v>
      </c>
    </row>
    <row r="41">
      <c r="A41" s="119"/>
      <c r="B41" s="14"/>
      <c r="C41" s="2"/>
      <c r="D41" s="2"/>
    </row>
    <row r="42">
      <c r="A42" s="119"/>
      <c r="B42" s="14" t="s">
        <v>151</v>
      </c>
      <c r="C42" s="2"/>
      <c r="D42" s="2"/>
    </row>
    <row r="43">
      <c r="B43" s="17" t="s">
        <v>4</v>
      </c>
      <c r="C43" s="6" t="s">
        <v>5</v>
      </c>
      <c r="D43" s="6" t="s">
        <v>6</v>
      </c>
    </row>
    <row r="44">
      <c r="B44" s="103" t="s">
        <v>152</v>
      </c>
      <c r="C44" s="126">
        <f>75*A34</f>
        <v>300</v>
      </c>
      <c r="D44" s="22" t="s">
        <v>17</v>
      </c>
    </row>
    <row r="45">
      <c r="B45" s="85" t="s">
        <v>155</v>
      </c>
      <c r="C45" s="82">
        <f>0.25*A34</f>
        <v>1</v>
      </c>
      <c r="D45" s="28" t="s">
        <v>19</v>
      </c>
    </row>
    <row r="46">
      <c r="B46" s="85" t="s">
        <v>156</v>
      </c>
      <c r="C46" s="82">
        <f>0.25*A34</f>
        <v>1</v>
      </c>
      <c r="D46" s="28" t="s">
        <v>19</v>
      </c>
    </row>
    <row r="47">
      <c r="B47" s="85" t="s">
        <v>158</v>
      </c>
      <c r="C47" s="82"/>
      <c r="D47" s="82"/>
    </row>
    <row r="48">
      <c r="B48" s="85" t="s">
        <v>68</v>
      </c>
      <c r="C48" s="82"/>
      <c r="D48" s="82"/>
    </row>
    <row r="49">
      <c r="B49" s="85" t="s">
        <v>69</v>
      </c>
      <c r="C49" s="82"/>
      <c r="D49" s="82"/>
    </row>
    <row r="50">
      <c r="B50" s="87" t="s">
        <v>75</v>
      </c>
      <c r="C50" s="89"/>
      <c r="D50" s="89"/>
    </row>
    <row r="51">
      <c r="C51" s="2"/>
      <c r="D51" s="2"/>
    </row>
    <row r="52">
      <c r="C52" s="2"/>
      <c r="D52" s="2"/>
    </row>
    <row r="53">
      <c r="A53" s="101" t="s">
        <v>161</v>
      </c>
      <c r="B53" s="17" t="s">
        <v>4</v>
      </c>
      <c r="C53" s="6" t="s">
        <v>5</v>
      </c>
      <c r="D53" s="6" t="s">
        <v>6</v>
      </c>
    </row>
    <row r="54">
      <c r="A54" s="7" t="s">
        <v>13</v>
      </c>
      <c r="B54" s="103" t="s">
        <v>162</v>
      </c>
      <c r="C54" s="22">
        <f>100*A55</f>
        <v>500</v>
      </c>
      <c r="D54" s="22" t="s">
        <v>17</v>
      </c>
      <c r="F54" s="76" t="s">
        <v>165</v>
      </c>
      <c r="G54" s="34"/>
      <c r="H54" s="34"/>
      <c r="I54" s="34"/>
      <c r="J54" s="36"/>
    </row>
    <row r="55">
      <c r="A55" s="88">
        <v>5.0</v>
      </c>
      <c r="B55" s="85" t="s">
        <v>167</v>
      </c>
      <c r="C55" s="28">
        <f>40*A55</f>
        <v>200</v>
      </c>
      <c r="D55" s="28" t="s">
        <v>17</v>
      </c>
      <c r="F55" s="45"/>
      <c r="J55" s="47"/>
    </row>
    <row r="56">
      <c r="B56" s="85" t="s">
        <v>75</v>
      </c>
      <c r="C56" s="82">
        <f>0.4*A55</f>
        <v>2</v>
      </c>
      <c r="D56" s="28" t="s">
        <v>19</v>
      </c>
      <c r="F56" s="45"/>
      <c r="J56" s="47"/>
    </row>
    <row r="57">
      <c r="B57" s="85" t="s">
        <v>96</v>
      </c>
      <c r="C57" s="82">
        <f>0.4*A55</f>
        <v>2</v>
      </c>
      <c r="D57" s="28" t="s">
        <v>170</v>
      </c>
      <c r="F57" s="45"/>
      <c r="J57" s="47"/>
    </row>
    <row r="58">
      <c r="B58" s="85" t="s">
        <v>171</v>
      </c>
      <c r="C58" s="82">
        <f>0.2*A55</f>
        <v>1</v>
      </c>
      <c r="D58" s="28" t="s">
        <v>19</v>
      </c>
      <c r="F58" s="45"/>
      <c r="J58" s="47"/>
    </row>
    <row r="59">
      <c r="B59" s="85" t="s">
        <v>173</v>
      </c>
      <c r="C59" s="82">
        <f>0.2*A55</f>
        <v>1</v>
      </c>
      <c r="D59" s="28" t="s">
        <v>17</v>
      </c>
      <c r="F59" s="54"/>
      <c r="G59" s="55"/>
      <c r="H59" s="55"/>
      <c r="I59" s="55"/>
      <c r="J59" s="56"/>
    </row>
    <row r="60">
      <c r="B60" s="85" t="s">
        <v>68</v>
      </c>
      <c r="C60" s="82"/>
      <c r="D60" s="28"/>
      <c r="F60" s="59"/>
    </row>
    <row r="61">
      <c r="B61" s="87" t="s">
        <v>69</v>
      </c>
      <c r="C61" s="89"/>
      <c r="D61" s="46"/>
    </row>
    <row r="62">
      <c r="B62" s="59"/>
      <c r="C62" s="2"/>
      <c r="D62" s="12"/>
    </row>
    <row r="63">
      <c r="C63" s="2"/>
      <c r="D63" s="2"/>
    </row>
    <row r="64">
      <c r="C64" s="2"/>
      <c r="D64" s="2"/>
    </row>
    <row r="65">
      <c r="A65" s="57" t="s">
        <v>176</v>
      </c>
      <c r="B65" s="14" t="s">
        <v>182</v>
      </c>
      <c r="C65" s="11" t="s">
        <v>184</v>
      </c>
      <c r="D65" s="2"/>
    </row>
    <row r="66">
      <c r="A66" s="101" t="s">
        <v>188</v>
      </c>
      <c r="B66" s="17" t="s">
        <v>4</v>
      </c>
      <c r="C66" s="6" t="s">
        <v>5</v>
      </c>
      <c r="D66" s="6" t="s">
        <v>6</v>
      </c>
    </row>
    <row r="67">
      <c r="A67" s="7" t="s">
        <v>13</v>
      </c>
      <c r="B67" s="103" t="s">
        <v>191</v>
      </c>
      <c r="C67" s="22">
        <f>2*A68</f>
        <v>4</v>
      </c>
      <c r="D67" s="22" t="s">
        <v>19</v>
      </c>
      <c r="F67" s="76" t="s">
        <v>194</v>
      </c>
      <c r="G67" s="34"/>
      <c r="H67" s="34"/>
      <c r="I67" s="34"/>
      <c r="J67" s="36"/>
    </row>
    <row r="68">
      <c r="A68" s="88">
        <v>2.0</v>
      </c>
      <c r="B68" s="87" t="s">
        <v>197</v>
      </c>
      <c r="C68" s="89"/>
      <c r="D68" s="46"/>
      <c r="F68" s="45"/>
      <c r="J68" s="47"/>
    </row>
    <row r="69">
      <c r="B69" s="59"/>
      <c r="C69" s="2"/>
      <c r="D69" s="12"/>
      <c r="F69" s="45"/>
      <c r="J69" s="47"/>
    </row>
    <row r="70">
      <c r="B70" s="14" t="s">
        <v>198</v>
      </c>
      <c r="C70" s="2"/>
      <c r="D70" s="12"/>
      <c r="F70" s="45"/>
      <c r="J70" s="47"/>
    </row>
    <row r="71">
      <c r="B71" s="17" t="s">
        <v>4</v>
      </c>
      <c r="C71" s="6" t="s">
        <v>5</v>
      </c>
      <c r="D71" s="6" t="s">
        <v>6</v>
      </c>
      <c r="F71" s="45"/>
      <c r="J71" s="47"/>
    </row>
    <row r="72">
      <c r="B72" s="103" t="s">
        <v>202</v>
      </c>
      <c r="C72" s="22">
        <f>50*A68</f>
        <v>100</v>
      </c>
      <c r="D72" s="22" t="s">
        <v>17</v>
      </c>
      <c r="F72" s="54"/>
      <c r="G72" s="55"/>
      <c r="H72" s="55"/>
      <c r="I72" s="55"/>
      <c r="J72" s="56"/>
    </row>
    <row r="73">
      <c r="B73" s="85" t="s">
        <v>205</v>
      </c>
      <c r="C73" s="82">
        <f>1.5*A68</f>
        <v>3</v>
      </c>
      <c r="D73" s="28" t="s">
        <v>19</v>
      </c>
    </row>
    <row r="74">
      <c r="B74" s="85" t="s">
        <v>209</v>
      </c>
      <c r="C74" s="82">
        <f>25*A68</f>
        <v>50</v>
      </c>
      <c r="D74" s="28" t="s">
        <v>17</v>
      </c>
      <c r="F74" s="76" t="s">
        <v>210</v>
      </c>
      <c r="G74" s="34"/>
      <c r="H74" s="34"/>
      <c r="I74" s="34"/>
      <c r="J74" s="36"/>
    </row>
    <row r="75">
      <c r="B75" s="85" t="s">
        <v>212</v>
      </c>
      <c r="C75" s="82">
        <f>0.125*A68</f>
        <v>0.25</v>
      </c>
      <c r="D75" s="28" t="s">
        <v>19</v>
      </c>
      <c r="F75" s="45"/>
      <c r="J75" s="47"/>
    </row>
    <row r="76">
      <c r="B76" s="85" t="s">
        <v>214</v>
      </c>
      <c r="C76" s="82"/>
      <c r="D76" s="82"/>
      <c r="F76" s="45"/>
      <c r="J76" s="47"/>
    </row>
    <row r="77">
      <c r="B77" s="87" t="s">
        <v>68</v>
      </c>
      <c r="C77" s="89"/>
      <c r="D77" s="89"/>
      <c r="F77" s="45"/>
      <c r="J77" s="47"/>
    </row>
    <row r="78">
      <c r="C78" s="2"/>
      <c r="D78" s="2"/>
      <c r="F78" s="45"/>
      <c r="J78" s="47"/>
    </row>
    <row r="79">
      <c r="B79" s="14" t="s">
        <v>217</v>
      </c>
      <c r="C79" s="2"/>
      <c r="D79" s="12"/>
      <c r="F79" s="45"/>
      <c r="J79" s="47"/>
    </row>
    <row r="80">
      <c r="B80" s="17" t="s">
        <v>4</v>
      </c>
      <c r="C80" s="6" t="s">
        <v>5</v>
      </c>
      <c r="D80" s="6" t="s">
        <v>6</v>
      </c>
      <c r="F80" s="54"/>
      <c r="G80" s="55"/>
      <c r="H80" s="55"/>
      <c r="I80" s="55"/>
      <c r="J80" s="56"/>
    </row>
    <row r="81">
      <c r="B81" s="103" t="s">
        <v>220</v>
      </c>
      <c r="C81" s="22">
        <f>4*A68</f>
        <v>8</v>
      </c>
      <c r="D81" s="22" t="s">
        <v>222</v>
      </c>
    </row>
    <row r="82">
      <c r="A82" s="59"/>
      <c r="B82" s="87" t="s">
        <v>223</v>
      </c>
      <c r="C82" s="89">
        <f>2*A68</f>
        <v>4</v>
      </c>
      <c r="D82" s="46" t="s">
        <v>222</v>
      </c>
    </row>
    <row r="83">
      <c r="C83" s="2"/>
      <c r="D83" s="2"/>
    </row>
    <row r="84">
      <c r="C84" s="2"/>
      <c r="D84" s="2"/>
    </row>
    <row r="85">
      <c r="A85" s="125" t="s">
        <v>226</v>
      </c>
      <c r="C85" s="2"/>
      <c r="D85" s="2"/>
    </row>
    <row r="86">
      <c r="A86" s="101" t="s">
        <v>232</v>
      </c>
      <c r="B86" s="17" t="s">
        <v>4</v>
      </c>
      <c r="C86" s="6" t="s">
        <v>5</v>
      </c>
      <c r="D86" s="6" t="s">
        <v>6</v>
      </c>
    </row>
    <row r="87">
      <c r="A87" s="7" t="s">
        <v>13</v>
      </c>
      <c r="B87" s="103" t="s">
        <v>234</v>
      </c>
      <c r="C87" s="126">
        <f>150
*A88</f>
        <v>300</v>
      </c>
      <c r="D87" s="22" t="s">
        <v>17</v>
      </c>
      <c r="F87" s="76" t="s">
        <v>235</v>
      </c>
      <c r="G87" s="34"/>
      <c r="H87" s="34"/>
      <c r="I87" s="34"/>
      <c r="J87" s="34"/>
      <c r="K87" s="36"/>
      <c r="L87" s="98"/>
      <c r="M87" s="140"/>
      <c r="N87" s="141"/>
      <c r="O87" s="141"/>
    </row>
    <row r="88">
      <c r="A88" s="88">
        <v>2.0</v>
      </c>
      <c r="B88" s="85" t="s">
        <v>240</v>
      </c>
      <c r="C88" s="28">
        <f>15
*A88</f>
        <v>30</v>
      </c>
      <c r="D88" s="28" t="s">
        <v>17</v>
      </c>
      <c r="F88" s="45"/>
      <c r="K88" s="47"/>
      <c r="L88" s="98"/>
      <c r="M88" s="138"/>
      <c r="N88" s="143"/>
      <c r="O88" s="138"/>
    </row>
    <row r="89">
      <c r="B89" s="85" t="s">
        <v>242</v>
      </c>
      <c r="C89" s="82">
        <f>60
*A88</f>
        <v>120</v>
      </c>
      <c r="D89" s="28" t="s">
        <v>17</v>
      </c>
      <c r="F89" s="45"/>
      <c r="K89" s="47"/>
      <c r="L89" s="98"/>
      <c r="M89" s="138"/>
      <c r="N89" s="139"/>
      <c r="O89" s="146"/>
    </row>
    <row r="90">
      <c r="B90" s="85" t="s">
        <v>245</v>
      </c>
      <c r="C90" s="82">
        <f>120
*A88</f>
        <v>240</v>
      </c>
      <c r="D90" s="28" t="s">
        <v>17</v>
      </c>
      <c r="F90" s="45"/>
      <c r="K90" s="47"/>
      <c r="L90" s="98"/>
      <c r="M90" s="138"/>
      <c r="N90" s="139"/>
      <c r="O90" s="146"/>
    </row>
    <row r="91">
      <c r="B91" s="85" t="s">
        <v>247</v>
      </c>
      <c r="C91" s="82">
        <f>1
*A88</f>
        <v>2</v>
      </c>
      <c r="D91" s="28" t="s">
        <v>250</v>
      </c>
      <c r="F91" s="45"/>
      <c r="K91" s="47"/>
      <c r="L91" s="98"/>
      <c r="M91" s="143"/>
      <c r="N91" s="139"/>
      <c r="O91" s="146"/>
    </row>
    <row r="92">
      <c r="B92" s="85" t="s">
        <v>252</v>
      </c>
      <c r="C92" s="28">
        <f>125*A88</f>
        <v>250</v>
      </c>
      <c r="D92" s="28" t="s">
        <v>17</v>
      </c>
      <c r="F92" s="45"/>
      <c r="K92" s="47"/>
      <c r="L92" s="98"/>
      <c r="M92" s="143"/>
      <c r="N92" s="139"/>
      <c r="O92" s="146"/>
    </row>
    <row r="93">
      <c r="B93" s="85" t="s">
        <v>75</v>
      </c>
      <c r="C93" s="82">
        <f>1*A88</f>
        <v>2</v>
      </c>
      <c r="D93" s="28" t="s">
        <v>97</v>
      </c>
      <c r="F93" s="45"/>
      <c r="K93" s="47"/>
      <c r="L93" s="98"/>
      <c r="M93" s="138"/>
      <c r="N93" s="139"/>
      <c r="O93" s="146"/>
    </row>
    <row r="94">
      <c r="B94" s="85" t="s">
        <v>256</v>
      </c>
      <c r="C94" s="82">
        <f>1*A88</f>
        <v>2</v>
      </c>
      <c r="D94" s="28" t="s">
        <v>170</v>
      </c>
      <c r="F94" s="45"/>
      <c r="K94" s="47"/>
      <c r="L94" s="98"/>
      <c r="M94" s="138"/>
      <c r="N94" s="139"/>
      <c r="O94" s="146"/>
    </row>
    <row r="95">
      <c r="B95" s="85" t="s">
        <v>259</v>
      </c>
      <c r="C95" s="148">
        <f>5*A88</f>
        <v>10</v>
      </c>
      <c r="D95" s="28" t="s">
        <v>17</v>
      </c>
      <c r="F95" s="45"/>
      <c r="K95" s="47"/>
      <c r="L95" s="98"/>
      <c r="M95" s="138"/>
      <c r="N95" s="139"/>
      <c r="O95" s="146"/>
    </row>
    <row r="96">
      <c r="B96" s="85" t="s">
        <v>263</v>
      </c>
      <c r="C96" s="148">
        <f>1
*A88</f>
        <v>2</v>
      </c>
      <c r="D96" s="28" t="s">
        <v>250</v>
      </c>
      <c r="F96" s="45"/>
      <c r="K96" s="47"/>
      <c r="L96" s="98"/>
      <c r="M96" s="138"/>
      <c r="N96" s="139"/>
      <c r="O96" s="146"/>
    </row>
    <row r="97">
      <c r="B97" s="85" t="s">
        <v>69</v>
      </c>
      <c r="C97" s="148">
        <f>1
*A88</f>
        <v>2</v>
      </c>
      <c r="D97" s="28" t="s">
        <v>250</v>
      </c>
      <c r="F97" s="45"/>
      <c r="K97" s="47"/>
      <c r="L97" s="98"/>
      <c r="M97" s="138"/>
      <c r="N97" s="139"/>
      <c r="O97" s="146"/>
    </row>
    <row r="98">
      <c r="B98" s="87" t="s">
        <v>200</v>
      </c>
      <c r="C98" s="91">
        <f>1
*A88</f>
        <v>2</v>
      </c>
      <c r="D98" s="46" t="s">
        <v>270</v>
      </c>
      <c r="F98" s="45"/>
      <c r="K98" s="47"/>
      <c r="L98" s="98"/>
      <c r="M98" s="138"/>
      <c r="N98" s="139"/>
      <c r="O98" s="146"/>
    </row>
    <row r="99">
      <c r="D99" s="2"/>
      <c r="F99" s="45"/>
      <c r="K99" s="47"/>
      <c r="L99" s="98"/>
      <c r="M99" s="138"/>
      <c r="N99" s="139"/>
      <c r="O99" s="146"/>
    </row>
    <row r="100">
      <c r="D100" s="2"/>
      <c r="F100" s="45"/>
      <c r="K100" s="47"/>
      <c r="L100" s="98"/>
      <c r="M100" s="138"/>
      <c r="N100" s="139"/>
      <c r="O100" s="146"/>
    </row>
    <row r="101">
      <c r="D101" s="2"/>
      <c r="F101" s="45"/>
      <c r="K101" s="47"/>
      <c r="L101" s="98"/>
      <c r="M101" s="98"/>
      <c r="N101" s="98"/>
      <c r="O101" s="98"/>
    </row>
    <row r="102">
      <c r="D102" s="2"/>
      <c r="F102" s="54"/>
      <c r="G102" s="55"/>
      <c r="H102" s="55"/>
      <c r="I102" s="55"/>
      <c r="J102" s="55"/>
      <c r="K102" s="56"/>
      <c r="L102" s="98"/>
      <c r="M102" s="98"/>
      <c r="N102" s="98"/>
      <c r="O102" s="98"/>
    </row>
    <row r="103">
      <c r="D103" s="2"/>
      <c r="K103" s="98"/>
      <c r="L103" s="98"/>
      <c r="M103" s="98"/>
      <c r="N103" s="98"/>
      <c r="O103" s="98"/>
    </row>
    <row r="104">
      <c r="A104" s="101"/>
      <c r="C104" s="2"/>
      <c r="D104" s="2"/>
    </row>
    <row r="105">
      <c r="A105" s="101" t="s">
        <v>277</v>
      </c>
      <c r="B105" s="17" t="s">
        <v>4</v>
      </c>
      <c r="C105" s="6" t="s">
        <v>5</v>
      </c>
      <c r="D105" s="6" t="s">
        <v>6</v>
      </c>
    </row>
    <row r="106">
      <c r="A106" s="7" t="s">
        <v>13</v>
      </c>
      <c r="B106" s="103" t="s">
        <v>278</v>
      </c>
      <c r="C106" s="22" t="s">
        <v>280</v>
      </c>
      <c r="D106" s="126"/>
    </row>
    <row r="107">
      <c r="A107" s="88" t="s">
        <v>281</v>
      </c>
      <c r="B107" s="85" t="s">
        <v>282</v>
      </c>
      <c r="C107" s="28" t="s">
        <v>280</v>
      </c>
      <c r="D107" s="82"/>
    </row>
    <row r="108">
      <c r="B108" s="85" t="s">
        <v>283</v>
      </c>
      <c r="C108" s="28" t="s">
        <v>280</v>
      </c>
      <c r="D108" s="82"/>
    </row>
    <row r="109">
      <c r="B109" s="85" t="s">
        <v>285</v>
      </c>
      <c r="C109" s="28" t="s">
        <v>280</v>
      </c>
      <c r="D109" s="82"/>
    </row>
    <row r="110">
      <c r="B110" s="85" t="s">
        <v>286</v>
      </c>
      <c r="C110" s="28" t="s">
        <v>280</v>
      </c>
      <c r="D110" s="82"/>
    </row>
    <row r="111">
      <c r="B111" s="85" t="s">
        <v>287</v>
      </c>
      <c r="C111" s="28" t="s">
        <v>280</v>
      </c>
      <c r="D111" s="82"/>
    </row>
    <row r="112">
      <c r="B112" s="85" t="s">
        <v>290</v>
      </c>
      <c r="C112" s="28" t="s">
        <v>280</v>
      </c>
      <c r="D112" s="82"/>
    </row>
    <row r="113">
      <c r="B113" s="87" t="s">
        <v>291</v>
      </c>
      <c r="C113" s="89"/>
      <c r="D113" s="89"/>
    </row>
    <row r="114">
      <c r="C114" s="2"/>
      <c r="D114" s="2"/>
    </row>
    <row r="115">
      <c r="B115" s="14" t="s">
        <v>151</v>
      </c>
      <c r="C115" s="2"/>
      <c r="D115" s="2"/>
    </row>
    <row r="116">
      <c r="B116" s="17" t="s">
        <v>4</v>
      </c>
      <c r="C116" s="6" t="s">
        <v>5</v>
      </c>
      <c r="D116" s="6" t="s">
        <v>6</v>
      </c>
    </row>
    <row r="117">
      <c r="B117" s="103" t="s">
        <v>293</v>
      </c>
      <c r="C117" s="166">
        <v>45750.0</v>
      </c>
      <c r="D117" s="22" t="s">
        <v>298</v>
      </c>
    </row>
    <row r="118">
      <c r="B118" s="85" t="s">
        <v>299</v>
      </c>
      <c r="C118" s="28">
        <v>4.0</v>
      </c>
      <c r="D118" s="28" t="s">
        <v>170</v>
      </c>
    </row>
    <row r="119">
      <c r="B119" s="85" t="s">
        <v>300</v>
      </c>
      <c r="C119" s="28">
        <v>2.0</v>
      </c>
      <c r="D119" s="28" t="s">
        <v>170</v>
      </c>
    </row>
    <row r="120">
      <c r="B120" s="85" t="s">
        <v>301</v>
      </c>
      <c r="C120" s="28">
        <v>1.0</v>
      </c>
      <c r="D120" s="28" t="s">
        <v>170</v>
      </c>
    </row>
    <row r="121">
      <c r="B121" s="85" t="s">
        <v>302</v>
      </c>
      <c r="C121" s="167">
        <v>45689.0</v>
      </c>
      <c r="D121" s="28" t="s">
        <v>270</v>
      </c>
    </row>
    <row r="122">
      <c r="B122" s="85" t="s">
        <v>306</v>
      </c>
      <c r="C122" s="167">
        <v>45717.0</v>
      </c>
      <c r="D122" s="28" t="s">
        <v>307</v>
      </c>
    </row>
    <row r="123">
      <c r="B123" s="85" t="s">
        <v>308</v>
      </c>
      <c r="C123" s="28">
        <v>1.0</v>
      </c>
      <c r="D123" s="28" t="s">
        <v>270</v>
      </c>
    </row>
    <row r="124">
      <c r="B124" s="85" t="s">
        <v>309</v>
      </c>
      <c r="C124" s="28">
        <v>1.0</v>
      </c>
      <c r="D124" s="28" t="s">
        <v>270</v>
      </c>
    </row>
    <row r="125">
      <c r="B125" s="87" t="s">
        <v>311</v>
      </c>
      <c r="C125" s="168">
        <v>45689.0</v>
      </c>
      <c r="D125" s="46" t="s">
        <v>270</v>
      </c>
    </row>
    <row r="126">
      <c r="C126" s="2"/>
      <c r="D126" s="2"/>
    </row>
    <row r="127">
      <c r="A127" s="101" t="s">
        <v>312</v>
      </c>
      <c r="B127" s="57" t="s">
        <v>313</v>
      </c>
      <c r="C127" s="2"/>
      <c r="D127" s="2"/>
    </row>
    <row r="128">
      <c r="C128" s="2"/>
      <c r="D128" s="2"/>
    </row>
    <row r="129">
      <c r="C129" s="2"/>
      <c r="D129" s="2"/>
    </row>
    <row r="130">
      <c r="C130" s="2"/>
      <c r="D130" s="2"/>
    </row>
    <row r="131">
      <c r="C131" s="2"/>
      <c r="D131" s="2"/>
    </row>
    <row r="132">
      <c r="C132" s="2"/>
      <c r="D132" s="2"/>
    </row>
    <row r="133">
      <c r="C133" s="2"/>
      <c r="D133" s="2"/>
    </row>
    <row r="134">
      <c r="C134" s="2"/>
      <c r="D134" s="2"/>
    </row>
    <row r="135">
      <c r="C135" s="2"/>
      <c r="D135" s="2"/>
    </row>
    <row r="136">
      <c r="C136" s="2"/>
      <c r="D136" s="2"/>
    </row>
    <row r="137">
      <c r="C137" s="2"/>
      <c r="D137" s="2"/>
    </row>
    <row r="138">
      <c r="C138" s="2"/>
      <c r="D138" s="2"/>
    </row>
    <row r="139">
      <c r="C139" s="2"/>
      <c r="D139" s="2"/>
    </row>
    <row r="140">
      <c r="C140" s="2"/>
      <c r="D140" s="2"/>
    </row>
    <row r="141">
      <c r="C141" s="2"/>
      <c r="D141" s="2"/>
    </row>
    <row r="142">
      <c r="C142" s="2"/>
      <c r="D142" s="2"/>
    </row>
    <row r="143">
      <c r="C143" s="2"/>
      <c r="D143" s="2"/>
    </row>
    <row r="144">
      <c r="C144" s="2"/>
      <c r="D144" s="2"/>
    </row>
    <row r="145">
      <c r="C145" s="2"/>
      <c r="D145" s="2"/>
    </row>
    <row r="146">
      <c r="C146" s="2"/>
      <c r="D146" s="2"/>
    </row>
    <row r="147">
      <c r="C147" s="2"/>
      <c r="D147" s="2"/>
    </row>
    <row r="148">
      <c r="C148" s="2"/>
      <c r="D148" s="2"/>
    </row>
    <row r="149">
      <c r="C149" s="2"/>
      <c r="D149" s="2"/>
    </row>
    <row r="150">
      <c r="C150" s="2"/>
      <c r="D150" s="2"/>
    </row>
    <row r="151">
      <c r="C151" s="2"/>
      <c r="D151" s="2"/>
    </row>
    <row r="152">
      <c r="C152" s="2"/>
      <c r="D152" s="2"/>
    </row>
    <row r="153">
      <c r="C153" s="2"/>
      <c r="D153" s="2"/>
    </row>
    <row r="154">
      <c r="C154" s="2"/>
      <c r="D154" s="2"/>
    </row>
    <row r="155">
      <c r="C155" s="2"/>
      <c r="D155" s="2"/>
    </row>
    <row r="156">
      <c r="C156" s="2"/>
      <c r="D156" s="2"/>
    </row>
    <row r="157">
      <c r="C157" s="2"/>
      <c r="D157" s="2"/>
    </row>
    <row r="158">
      <c r="C158" s="2"/>
      <c r="D158" s="2"/>
    </row>
    <row r="159">
      <c r="C159" s="2"/>
      <c r="D159" s="2"/>
    </row>
    <row r="160">
      <c r="C160" s="2"/>
      <c r="D160" s="2"/>
    </row>
    <row r="161">
      <c r="C161" s="2"/>
      <c r="D161" s="2"/>
    </row>
    <row r="162">
      <c r="C162" s="2"/>
      <c r="D162" s="2"/>
    </row>
    <row r="163">
      <c r="C163" s="2"/>
      <c r="D163" s="2"/>
    </row>
    <row r="164">
      <c r="C164" s="2"/>
      <c r="D164" s="2"/>
    </row>
    <row r="165">
      <c r="C165" s="2"/>
      <c r="D165" s="2"/>
    </row>
    <row r="166">
      <c r="C166" s="2"/>
      <c r="D166" s="2"/>
    </row>
    <row r="167">
      <c r="C167" s="2"/>
      <c r="D167" s="2"/>
    </row>
    <row r="168">
      <c r="C168" s="2"/>
      <c r="D168" s="2"/>
    </row>
    <row r="169">
      <c r="C169" s="2"/>
      <c r="D169" s="2"/>
    </row>
    <row r="170">
      <c r="C170" s="2"/>
      <c r="D170" s="2"/>
    </row>
    <row r="171">
      <c r="C171" s="2"/>
      <c r="D171" s="2"/>
    </row>
    <row r="172">
      <c r="C172" s="2"/>
      <c r="D172" s="2"/>
    </row>
    <row r="173">
      <c r="C173" s="2"/>
      <c r="D173" s="2"/>
    </row>
    <row r="174">
      <c r="C174" s="2"/>
      <c r="D174" s="2"/>
    </row>
    <row r="175">
      <c r="C175" s="2"/>
      <c r="D175" s="2"/>
    </row>
    <row r="176">
      <c r="C176" s="2"/>
      <c r="D176" s="2"/>
    </row>
    <row r="177">
      <c r="C177" s="2"/>
      <c r="D177" s="2"/>
    </row>
    <row r="178">
      <c r="C178" s="2"/>
      <c r="D178" s="2"/>
    </row>
    <row r="179">
      <c r="C179" s="2"/>
      <c r="D179" s="2"/>
    </row>
    <row r="180">
      <c r="C180" s="2"/>
      <c r="D180" s="2"/>
    </row>
    <row r="181">
      <c r="C181" s="2"/>
      <c r="D181" s="2"/>
    </row>
    <row r="182">
      <c r="C182" s="2"/>
      <c r="D182" s="2"/>
    </row>
    <row r="183">
      <c r="C183" s="2"/>
      <c r="D183" s="2"/>
    </row>
    <row r="184">
      <c r="C184" s="2"/>
      <c r="D184" s="2"/>
    </row>
    <row r="185">
      <c r="C185" s="2"/>
      <c r="D185" s="2"/>
    </row>
    <row r="186">
      <c r="C186" s="2"/>
      <c r="D186" s="2"/>
    </row>
    <row r="187">
      <c r="C187" s="2"/>
      <c r="D187" s="2"/>
    </row>
    <row r="188">
      <c r="C188" s="2"/>
      <c r="D188" s="2"/>
    </row>
    <row r="189">
      <c r="C189" s="2"/>
      <c r="D189" s="2"/>
    </row>
    <row r="190">
      <c r="C190" s="2"/>
      <c r="D190" s="2"/>
    </row>
    <row r="191">
      <c r="C191" s="2"/>
      <c r="D191" s="2"/>
    </row>
    <row r="192">
      <c r="C192" s="2"/>
      <c r="D192" s="2"/>
    </row>
    <row r="193">
      <c r="C193" s="2"/>
      <c r="D193" s="2"/>
    </row>
    <row r="194">
      <c r="C194" s="2"/>
      <c r="D194" s="2"/>
    </row>
    <row r="195">
      <c r="C195" s="2"/>
      <c r="D195" s="2"/>
    </row>
    <row r="196">
      <c r="C196" s="2"/>
      <c r="D196" s="2"/>
    </row>
    <row r="197">
      <c r="C197" s="2"/>
      <c r="D197" s="2"/>
    </row>
    <row r="198">
      <c r="C198" s="2"/>
      <c r="D198" s="2"/>
    </row>
    <row r="199">
      <c r="C199" s="2"/>
      <c r="D199" s="2"/>
    </row>
    <row r="200">
      <c r="C200" s="2"/>
      <c r="D200" s="2"/>
    </row>
    <row r="201">
      <c r="C201" s="2"/>
      <c r="D201" s="2"/>
    </row>
    <row r="202">
      <c r="C202" s="2"/>
      <c r="D202" s="2"/>
    </row>
    <row r="203">
      <c r="C203" s="2"/>
      <c r="D203" s="2"/>
    </row>
    <row r="204">
      <c r="C204" s="2"/>
      <c r="D204" s="2"/>
    </row>
    <row r="205">
      <c r="C205" s="2"/>
      <c r="D205" s="2"/>
    </row>
    <row r="206">
      <c r="C206" s="2"/>
      <c r="D206" s="2"/>
    </row>
    <row r="207">
      <c r="C207" s="2"/>
      <c r="D207" s="2"/>
    </row>
    <row r="208">
      <c r="C208" s="2"/>
      <c r="D208" s="2"/>
    </row>
    <row r="209">
      <c r="C209" s="2"/>
      <c r="D209" s="2"/>
    </row>
    <row r="210">
      <c r="C210" s="2"/>
      <c r="D210" s="2"/>
    </row>
    <row r="211">
      <c r="C211" s="2"/>
      <c r="D211" s="2"/>
    </row>
    <row r="212">
      <c r="C212" s="2"/>
      <c r="D212" s="2"/>
    </row>
    <row r="213">
      <c r="C213" s="2"/>
      <c r="D213" s="2"/>
    </row>
    <row r="214">
      <c r="C214" s="2"/>
      <c r="D214" s="2"/>
    </row>
    <row r="215">
      <c r="C215" s="2"/>
      <c r="D215" s="2"/>
    </row>
    <row r="216">
      <c r="C216" s="2"/>
      <c r="D216" s="2"/>
    </row>
    <row r="217">
      <c r="C217" s="2"/>
      <c r="D217" s="2"/>
    </row>
    <row r="218">
      <c r="C218" s="2"/>
      <c r="D218" s="2"/>
    </row>
    <row r="219">
      <c r="C219" s="2"/>
      <c r="D219" s="2"/>
    </row>
    <row r="220">
      <c r="C220" s="2"/>
      <c r="D220" s="2"/>
    </row>
    <row r="221">
      <c r="C221" s="2"/>
      <c r="D221" s="2"/>
    </row>
    <row r="222">
      <c r="C222" s="2"/>
      <c r="D222" s="2"/>
    </row>
    <row r="223">
      <c r="C223" s="2"/>
      <c r="D223" s="2"/>
    </row>
    <row r="224">
      <c r="C224" s="2"/>
      <c r="D224" s="2"/>
    </row>
    <row r="225">
      <c r="C225" s="2"/>
      <c r="D225" s="2"/>
    </row>
    <row r="226">
      <c r="C226" s="2"/>
      <c r="D226" s="2"/>
    </row>
    <row r="227">
      <c r="C227" s="2"/>
      <c r="D227" s="2"/>
    </row>
    <row r="228">
      <c r="C228" s="2"/>
      <c r="D228" s="2"/>
    </row>
    <row r="229">
      <c r="C229" s="2"/>
      <c r="D229" s="2"/>
    </row>
    <row r="230">
      <c r="C230" s="2"/>
      <c r="D230" s="2"/>
    </row>
    <row r="231">
      <c r="C231" s="2"/>
      <c r="D231" s="2"/>
    </row>
    <row r="232">
      <c r="C232" s="2"/>
      <c r="D232" s="2"/>
    </row>
    <row r="233">
      <c r="C233" s="2"/>
      <c r="D233" s="2"/>
    </row>
    <row r="234">
      <c r="C234" s="2"/>
      <c r="D234" s="2"/>
    </row>
    <row r="235">
      <c r="C235" s="2"/>
      <c r="D235" s="2"/>
    </row>
    <row r="236">
      <c r="C236" s="2"/>
      <c r="D236" s="2"/>
    </row>
    <row r="237">
      <c r="C237" s="2"/>
      <c r="D237" s="2"/>
    </row>
    <row r="238">
      <c r="C238" s="2"/>
      <c r="D238" s="2"/>
    </row>
    <row r="239">
      <c r="C239" s="2"/>
      <c r="D239" s="2"/>
    </row>
    <row r="240">
      <c r="C240" s="2"/>
      <c r="D240" s="2"/>
    </row>
    <row r="241">
      <c r="C241" s="2"/>
      <c r="D241" s="2"/>
    </row>
    <row r="242">
      <c r="C242" s="2"/>
      <c r="D242" s="2"/>
    </row>
    <row r="243">
      <c r="C243" s="2"/>
      <c r="D243" s="2"/>
    </row>
    <row r="244">
      <c r="C244" s="2"/>
      <c r="D244" s="2"/>
    </row>
    <row r="245">
      <c r="C245" s="2"/>
      <c r="D245" s="2"/>
    </row>
    <row r="246">
      <c r="C246" s="2"/>
      <c r="D246" s="2"/>
    </row>
    <row r="247">
      <c r="C247" s="2"/>
      <c r="D247" s="2"/>
    </row>
    <row r="248">
      <c r="C248" s="2"/>
      <c r="D248" s="2"/>
    </row>
    <row r="249">
      <c r="C249" s="2"/>
      <c r="D249" s="2"/>
    </row>
    <row r="250">
      <c r="C250" s="2"/>
      <c r="D250" s="2"/>
    </row>
    <row r="251">
      <c r="C251" s="2"/>
      <c r="D251" s="2"/>
    </row>
    <row r="252">
      <c r="C252" s="2"/>
      <c r="D252" s="2"/>
    </row>
    <row r="253">
      <c r="C253" s="2"/>
      <c r="D253" s="2"/>
    </row>
    <row r="254">
      <c r="C254" s="2"/>
      <c r="D254" s="2"/>
    </row>
    <row r="255">
      <c r="C255" s="2"/>
      <c r="D255" s="2"/>
    </row>
    <row r="256">
      <c r="C256" s="2"/>
      <c r="D256" s="2"/>
    </row>
    <row r="257">
      <c r="C257" s="2"/>
      <c r="D257" s="2"/>
    </row>
    <row r="258">
      <c r="C258" s="2"/>
      <c r="D258" s="2"/>
    </row>
    <row r="259">
      <c r="C259" s="2"/>
      <c r="D259" s="2"/>
    </row>
    <row r="260">
      <c r="C260" s="2"/>
      <c r="D260" s="2"/>
    </row>
    <row r="261">
      <c r="C261" s="2"/>
      <c r="D261" s="2"/>
    </row>
    <row r="262">
      <c r="C262" s="2"/>
      <c r="D262" s="2"/>
    </row>
    <row r="263">
      <c r="C263" s="2"/>
      <c r="D263" s="2"/>
    </row>
    <row r="264">
      <c r="C264" s="2"/>
      <c r="D264" s="2"/>
    </row>
    <row r="265">
      <c r="C265" s="2"/>
      <c r="D265" s="2"/>
    </row>
    <row r="266">
      <c r="C266" s="2"/>
      <c r="D266" s="2"/>
    </row>
    <row r="267">
      <c r="C267" s="2"/>
      <c r="D267" s="2"/>
    </row>
    <row r="268">
      <c r="C268" s="2"/>
      <c r="D268" s="2"/>
    </row>
    <row r="269">
      <c r="C269" s="2"/>
      <c r="D269" s="2"/>
    </row>
    <row r="270">
      <c r="C270" s="2"/>
      <c r="D270" s="2"/>
    </row>
    <row r="271">
      <c r="C271" s="2"/>
      <c r="D271" s="2"/>
    </row>
    <row r="272">
      <c r="C272" s="2"/>
      <c r="D272" s="2"/>
    </row>
    <row r="273">
      <c r="C273" s="2"/>
      <c r="D273" s="2"/>
    </row>
    <row r="274">
      <c r="C274" s="2"/>
      <c r="D274" s="2"/>
    </row>
    <row r="275">
      <c r="C275" s="2"/>
      <c r="D275" s="2"/>
    </row>
    <row r="276">
      <c r="C276" s="2"/>
      <c r="D276" s="2"/>
    </row>
    <row r="277">
      <c r="C277" s="2"/>
      <c r="D277" s="2"/>
    </row>
    <row r="278">
      <c r="C278" s="2"/>
      <c r="D278" s="2"/>
    </row>
    <row r="279">
      <c r="C279" s="2"/>
      <c r="D279" s="2"/>
    </row>
    <row r="280">
      <c r="C280" s="2"/>
      <c r="D280" s="2"/>
    </row>
    <row r="281">
      <c r="C281" s="2"/>
      <c r="D281" s="2"/>
    </row>
    <row r="282">
      <c r="C282" s="2"/>
      <c r="D282" s="2"/>
    </row>
    <row r="283">
      <c r="C283" s="2"/>
      <c r="D283" s="2"/>
    </row>
    <row r="284">
      <c r="C284" s="2"/>
      <c r="D284" s="2"/>
    </row>
    <row r="285">
      <c r="C285" s="2"/>
      <c r="D285" s="2"/>
    </row>
    <row r="286">
      <c r="C286" s="2"/>
      <c r="D286" s="2"/>
    </row>
    <row r="287">
      <c r="C287" s="2"/>
      <c r="D287" s="2"/>
    </row>
    <row r="288">
      <c r="C288" s="2"/>
      <c r="D288" s="2"/>
    </row>
    <row r="289">
      <c r="C289" s="2"/>
      <c r="D289" s="2"/>
    </row>
    <row r="290">
      <c r="C290" s="2"/>
      <c r="D290" s="2"/>
    </row>
    <row r="291">
      <c r="C291" s="2"/>
      <c r="D291" s="2"/>
    </row>
    <row r="292">
      <c r="C292" s="2"/>
      <c r="D292" s="2"/>
    </row>
    <row r="293">
      <c r="C293" s="2"/>
      <c r="D293" s="2"/>
    </row>
    <row r="294">
      <c r="C294" s="2"/>
      <c r="D294" s="2"/>
    </row>
    <row r="295">
      <c r="C295" s="2"/>
      <c r="D295" s="2"/>
    </row>
    <row r="296">
      <c r="C296" s="2"/>
      <c r="D296" s="2"/>
    </row>
    <row r="297">
      <c r="C297" s="2"/>
      <c r="D297" s="2"/>
    </row>
    <row r="298">
      <c r="C298" s="2"/>
      <c r="D298" s="2"/>
    </row>
    <row r="299">
      <c r="C299" s="2"/>
      <c r="D299" s="2"/>
    </row>
    <row r="300">
      <c r="C300" s="2"/>
      <c r="D300" s="2"/>
    </row>
    <row r="301">
      <c r="C301" s="2"/>
      <c r="D301" s="2"/>
    </row>
    <row r="302">
      <c r="C302" s="2"/>
      <c r="D302" s="2"/>
    </row>
    <row r="303">
      <c r="C303" s="2"/>
      <c r="D303" s="2"/>
    </row>
    <row r="304">
      <c r="C304" s="2"/>
      <c r="D304" s="2"/>
    </row>
    <row r="305">
      <c r="C305" s="2"/>
      <c r="D305" s="2"/>
    </row>
    <row r="306">
      <c r="C306" s="2"/>
      <c r="D306" s="2"/>
    </row>
    <row r="307">
      <c r="C307" s="2"/>
      <c r="D307" s="2"/>
    </row>
    <row r="308">
      <c r="C308" s="2"/>
      <c r="D308" s="2"/>
    </row>
    <row r="309">
      <c r="C309" s="2"/>
      <c r="D309" s="2"/>
    </row>
    <row r="310">
      <c r="C310" s="2"/>
      <c r="D310" s="2"/>
    </row>
    <row r="311">
      <c r="C311" s="2"/>
      <c r="D311" s="2"/>
    </row>
    <row r="312">
      <c r="C312" s="2"/>
      <c r="D312" s="2"/>
    </row>
    <row r="313">
      <c r="C313" s="2"/>
      <c r="D313" s="2"/>
    </row>
    <row r="314">
      <c r="C314" s="2"/>
      <c r="D314" s="2"/>
    </row>
    <row r="315">
      <c r="C315" s="2"/>
      <c r="D315" s="2"/>
    </row>
    <row r="316">
      <c r="C316" s="2"/>
      <c r="D316" s="2"/>
    </row>
    <row r="317">
      <c r="C317" s="2"/>
      <c r="D317" s="2"/>
    </row>
    <row r="318">
      <c r="C318" s="2"/>
      <c r="D318" s="2"/>
    </row>
    <row r="319">
      <c r="C319" s="2"/>
      <c r="D319" s="2"/>
    </row>
    <row r="320">
      <c r="C320" s="2"/>
      <c r="D320" s="2"/>
    </row>
    <row r="321">
      <c r="C321" s="2"/>
      <c r="D321" s="2"/>
    </row>
    <row r="322">
      <c r="C322" s="2"/>
      <c r="D322" s="2"/>
    </row>
    <row r="323">
      <c r="C323" s="2"/>
      <c r="D323" s="2"/>
    </row>
    <row r="324">
      <c r="C324" s="2"/>
      <c r="D324" s="2"/>
    </row>
    <row r="325">
      <c r="C325" s="2"/>
      <c r="D325" s="2"/>
    </row>
    <row r="326">
      <c r="C326" s="2"/>
      <c r="D326" s="2"/>
    </row>
    <row r="327">
      <c r="C327" s="2"/>
      <c r="D327" s="2"/>
    </row>
    <row r="328">
      <c r="C328" s="2"/>
      <c r="D328" s="2"/>
    </row>
    <row r="329">
      <c r="C329" s="2"/>
      <c r="D329" s="2"/>
    </row>
    <row r="330">
      <c r="C330" s="2"/>
      <c r="D330" s="2"/>
    </row>
    <row r="331">
      <c r="C331" s="2"/>
      <c r="D331" s="2"/>
    </row>
    <row r="332">
      <c r="C332" s="2"/>
      <c r="D332" s="2"/>
    </row>
    <row r="333">
      <c r="C333" s="2"/>
      <c r="D333" s="2"/>
    </row>
    <row r="334">
      <c r="C334" s="2"/>
      <c r="D334" s="2"/>
    </row>
    <row r="335">
      <c r="C335" s="2"/>
      <c r="D335" s="2"/>
    </row>
    <row r="336">
      <c r="C336" s="2"/>
      <c r="D336" s="2"/>
    </row>
    <row r="337">
      <c r="C337" s="2"/>
      <c r="D337" s="2"/>
    </row>
    <row r="338">
      <c r="C338" s="2"/>
      <c r="D338" s="2"/>
    </row>
    <row r="339">
      <c r="C339" s="2"/>
      <c r="D339" s="2"/>
    </row>
    <row r="340">
      <c r="C340" s="2"/>
      <c r="D340" s="2"/>
    </row>
    <row r="341">
      <c r="C341" s="2"/>
      <c r="D341" s="2"/>
    </row>
    <row r="342">
      <c r="C342" s="2"/>
      <c r="D342" s="2"/>
    </row>
    <row r="343">
      <c r="C343" s="2"/>
      <c r="D343" s="2"/>
    </row>
    <row r="344">
      <c r="C344" s="2"/>
      <c r="D344" s="2"/>
    </row>
    <row r="345">
      <c r="C345" s="2"/>
      <c r="D345" s="2"/>
    </row>
    <row r="346">
      <c r="C346" s="2"/>
      <c r="D346" s="2"/>
    </row>
    <row r="347">
      <c r="C347" s="2"/>
      <c r="D347" s="2"/>
    </row>
    <row r="348">
      <c r="C348" s="2"/>
      <c r="D348" s="2"/>
    </row>
    <row r="349">
      <c r="C349" s="2"/>
      <c r="D349" s="2"/>
    </row>
    <row r="350">
      <c r="C350" s="2"/>
      <c r="D350" s="2"/>
    </row>
    <row r="351">
      <c r="C351" s="2"/>
      <c r="D351" s="2"/>
    </row>
    <row r="352">
      <c r="C352" s="2"/>
      <c r="D352" s="2"/>
    </row>
    <row r="353">
      <c r="C353" s="2"/>
      <c r="D353" s="2"/>
    </row>
    <row r="354">
      <c r="C354" s="2"/>
      <c r="D354" s="2"/>
    </row>
    <row r="355">
      <c r="C355" s="2"/>
      <c r="D355" s="2"/>
    </row>
    <row r="356">
      <c r="C356" s="2"/>
      <c r="D356" s="2"/>
    </row>
    <row r="357">
      <c r="C357" s="2"/>
      <c r="D357" s="2"/>
    </row>
    <row r="358">
      <c r="C358" s="2"/>
      <c r="D358" s="2"/>
    </row>
    <row r="359">
      <c r="C359" s="2"/>
      <c r="D359" s="2"/>
    </row>
    <row r="360">
      <c r="C360" s="2"/>
      <c r="D360" s="2"/>
    </row>
    <row r="361">
      <c r="C361" s="2"/>
      <c r="D361" s="2"/>
    </row>
    <row r="362">
      <c r="C362" s="2"/>
      <c r="D362" s="2"/>
    </row>
    <row r="363">
      <c r="C363" s="2"/>
      <c r="D363" s="2"/>
    </row>
    <row r="364">
      <c r="C364" s="2"/>
      <c r="D364" s="2"/>
    </row>
    <row r="365">
      <c r="C365" s="2"/>
      <c r="D365" s="2"/>
    </row>
    <row r="366">
      <c r="C366" s="2"/>
      <c r="D366" s="2"/>
    </row>
    <row r="367">
      <c r="C367" s="2"/>
      <c r="D367" s="2"/>
    </row>
    <row r="368">
      <c r="C368" s="2"/>
      <c r="D368" s="2"/>
    </row>
    <row r="369">
      <c r="C369" s="2"/>
      <c r="D369" s="2"/>
    </row>
    <row r="370">
      <c r="C370" s="2"/>
      <c r="D370" s="2"/>
    </row>
    <row r="371">
      <c r="C371" s="2"/>
      <c r="D371" s="2"/>
    </row>
    <row r="372">
      <c r="C372" s="2"/>
      <c r="D372" s="2"/>
    </row>
    <row r="373">
      <c r="C373" s="2"/>
      <c r="D373" s="2"/>
    </row>
    <row r="374">
      <c r="C374" s="2"/>
      <c r="D374" s="2"/>
    </row>
    <row r="375">
      <c r="C375" s="2"/>
      <c r="D375" s="2"/>
    </row>
    <row r="376">
      <c r="C376" s="2"/>
      <c r="D376" s="2"/>
    </row>
    <row r="377">
      <c r="C377" s="2"/>
      <c r="D377" s="2"/>
    </row>
    <row r="378">
      <c r="C378" s="2"/>
      <c r="D378" s="2"/>
    </row>
    <row r="379">
      <c r="C379" s="2"/>
      <c r="D379" s="2"/>
    </row>
    <row r="380">
      <c r="C380" s="2"/>
      <c r="D380" s="2"/>
    </row>
    <row r="381">
      <c r="C381" s="2"/>
      <c r="D381" s="2"/>
    </row>
    <row r="382">
      <c r="C382" s="2"/>
      <c r="D382" s="2"/>
    </row>
    <row r="383">
      <c r="C383" s="2"/>
      <c r="D383" s="2"/>
    </row>
    <row r="384">
      <c r="C384" s="2"/>
      <c r="D384" s="2"/>
    </row>
    <row r="385">
      <c r="C385" s="2"/>
      <c r="D385" s="2"/>
    </row>
    <row r="386">
      <c r="C386" s="2"/>
      <c r="D386" s="2"/>
    </row>
    <row r="387">
      <c r="C387" s="2"/>
      <c r="D387" s="2"/>
    </row>
    <row r="388">
      <c r="C388" s="2"/>
      <c r="D388" s="2"/>
    </row>
    <row r="389">
      <c r="C389" s="2"/>
      <c r="D389" s="2"/>
    </row>
    <row r="390">
      <c r="C390" s="2"/>
      <c r="D390" s="2"/>
    </row>
    <row r="391">
      <c r="C391" s="2"/>
      <c r="D391" s="2"/>
    </row>
    <row r="392">
      <c r="C392" s="2"/>
      <c r="D392" s="2"/>
    </row>
    <row r="393">
      <c r="C393" s="2"/>
      <c r="D393" s="2"/>
    </row>
    <row r="394">
      <c r="C394" s="2"/>
      <c r="D394" s="2"/>
    </row>
    <row r="395">
      <c r="C395" s="2"/>
      <c r="D395" s="2"/>
    </row>
    <row r="396">
      <c r="C396" s="2"/>
      <c r="D396" s="2"/>
    </row>
    <row r="397">
      <c r="C397" s="2"/>
      <c r="D397" s="2"/>
    </row>
    <row r="398">
      <c r="C398" s="2"/>
      <c r="D398" s="2"/>
    </row>
    <row r="399">
      <c r="C399" s="2"/>
      <c r="D399" s="2"/>
    </row>
    <row r="400">
      <c r="C400" s="2"/>
      <c r="D400" s="2"/>
    </row>
    <row r="401">
      <c r="C401" s="2"/>
      <c r="D401" s="2"/>
    </row>
    <row r="402">
      <c r="C402" s="2"/>
      <c r="D402" s="2"/>
    </row>
    <row r="403">
      <c r="C403" s="2"/>
      <c r="D403" s="2"/>
    </row>
    <row r="404">
      <c r="C404" s="2"/>
      <c r="D404" s="2"/>
    </row>
    <row r="405">
      <c r="C405" s="2"/>
      <c r="D405" s="2"/>
    </row>
    <row r="406">
      <c r="C406" s="2"/>
      <c r="D406" s="2"/>
    </row>
    <row r="407">
      <c r="C407" s="2"/>
      <c r="D407" s="2"/>
    </row>
    <row r="408">
      <c r="C408" s="2"/>
      <c r="D408" s="2"/>
    </row>
    <row r="409">
      <c r="C409" s="2"/>
      <c r="D409" s="2"/>
    </row>
    <row r="410">
      <c r="C410" s="2"/>
      <c r="D410" s="2"/>
    </row>
    <row r="411">
      <c r="C411" s="2"/>
      <c r="D411" s="2"/>
    </row>
    <row r="412">
      <c r="C412" s="2"/>
      <c r="D412" s="2"/>
    </row>
    <row r="413">
      <c r="C413" s="2"/>
      <c r="D413" s="2"/>
    </row>
    <row r="414">
      <c r="C414" s="2"/>
      <c r="D414" s="2"/>
    </row>
    <row r="415">
      <c r="C415" s="2"/>
      <c r="D415" s="2"/>
    </row>
    <row r="416">
      <c r="C416" s="2"/>
      <c r="D416" s="2"/>
    </row>
    <row r="417">
      <c r="C417" s="2"/>
      <c r="D417" s="2"/>
    </row>
    <row r="418">
      <c r="C418" s="2"/>
      <c r="D418" s="2"/>
    </row>
    <row r="419">
      <c r="C419" s="2"/>
      <c r="D419" s="2"/>
    </row>
    <row r="420">
      <c r="C420" s="2"/>
      <c r="D420" s="2"/>
    </row>
    <row r="421">
      <c r="C421" s="2"/>
      <c r="D421" s="2"/>
    </row>
    <row r="422">
      <c r="C422" s="2"/>
      <c r="D422" s="2"/>
    </row>
    <row r="423">
      <c r="C423" s="2"/>
      <c r="D423" s="2"/>
    </row>
    <row r="424">
      <c r="C424" s="2"/>
      <c r="D424" s="2"/>
    </row>
    <row r="425">
      <c r="C425" s="2"/>
      <c r="D425" s="2"/>
    </row>
    <row r="426">
      <c r="C426" s="2"/>
      <c r="D426" s="2"/>
    </row>
    <row r="427">
      <c r="C427" s="2"/>
      <c r="D427" s="2"/>
    </row>
    <row r="428">
      <c r="C428" s="2"/>
      <c r="D428" s="2"/>
    </row>
    <row r="429">
      <c r="C429" s="2"/>
      <c r="D429" s="2"/>
    </row>
    <row r="430">
      <c r="C430" s="2"/>
      <c r="D430" s="2"/>
    </row>
    <row r="431">
      <c r="C431" s="2"/>
      <c r="D431" s="2"/>
    </row>
    <row r="432">
      <c r="C432" s="2"/>
      <c r="D432" s="2"/>
    </row>
    <row r="433">
      <c r="C433" s="2"/>
      <c r="D433" s="2"/>
    </row>
    <row r="434">
      <c r="C434" s="2"/>
      <c r="D434" s="2"/>
    </row>
    <row r="435">
      <c r="C435" s="2"/>
      <c r="D435" s="2"/>
    </row>
    <row r="436">
      <c r="C436" s="2"/>
      <c r="D436" s="2"/>
    </row>
    <row r="437">
      <c r="C437" s="2"/>
      <c r="D437" s="2"/>
    </row>
    <row r="438">
      <c r="C438" s="2"/>
      <c r="D438" s="2"/>
    </row>
    <row r="439">
      <c r="C439" s="2"/>
      <c r="D439" s="2"/>
    </row>
    <row r="440">
      <c r="C440" s="2"/>
      <c r="D440" s="2"/>
    </row>
    <row r="441">
      <c r="C441" s="2"/>
      <c r="D441" s="2"/>
    </row>
    <row r="442">
      <c r="C442" s="2"/>
      <c r="D442" s="2"/>
    </row>
    <row r="443">
      <c r="C443" s="2"/>
      <c r="D443" s="2"/>
    </row>
    <row r="444">
      <c r="C444" s="2"/>
      <c r="D444" s="2"/>
    </row>
    <row r="445">
      <c r="C445" s="2"/>
      <c r="D445" s="2"/>
    </row>
    <row r="446">
      <c r="C446" s="2"/>
      <c r="D446" s="2"/>
    </row>
    <row r="447">
      <c r="C447" s="2"/>
      <c r="D447" s="2"/>
    </row>
    <row r="448">
      <c r="C448" s="2"/>
      <c r="D448" s="2"/>
    </row>
    <row r="449">
      <c r="C449" s="2"/>
      <c r="D449" s="2"/>
    </row>
    <row r="450">
      <c r="C450" s="2"/>
      <c r="D450" s="2"/>
    </row>
    <row r="451">
      <c r="C451" s="2"/>
      <c r="D451" s="2"/>
    </row>
    <row r="452">
      <c r="C452" s="2"/>
      <c r="D452" s="2"/>
    </row>
    <row r="453">
      <c r="C453" s="2"/>
      <c r="D453" s="2"/>
    </row>
    <row r="454">
      <c r="C454" s="2"/>
      <c r="D454" s="2"/>
    </row>
    <row r="455">
      <c r="C455" s="2"/>
      <c r="D455" s="2"/>
    </row>
    <row r="456">
      <c r="C456" s="2"/>
      <c r="D456" s="2"/>
    </row>
    <row r="457">
      <c r="C457" s="2"/>
      <c r="D457" s="2"/>
    </row>
    <row r="458">
      <c r="C458" s="2"/>
      <c r="D458" s="2"/>
    </row>
    <row r="459">
      <c r="C459" s="2"/>
      <c r="D459" s="2"/>
    </row>
    <row r="460">
      <c r="C460" s="2"/>
      <c r="D460" s="2"/>
    </row>
    <row r="461">
      <c r="C461" s="2"/>
      <c r="D461" s="2"/>
    </row>
    <row r="462">
      <c r="C462" s="2"/>
      <c r="D462" s="2"/>
    </row>
    <row r="463">
      <c r="C463" s="2"/>
      <c r="D463" s="2"/>
    </row>
    <row r="464">
      <c r="C464" s="2"/>
      <c r="D464" s="2"/>
    </row>
    <row r="465">
      <c r="C465" s="2"/>
      <c r="D465" s="2"/>
    </row>
    <row r="466">
      <c r="C466" s="2"/>
      <c r="D466" s="2"/>
    </row>
    <row r="467">
      <c r="C467" s="2"/>
      <c r="D467" s="2"/>
    </row>
    <row r="468">
      <c r="C468" s="2"/>
      <c r="D468" s="2"/>
    </row>
    <row r="469">
      <c r="C469" s="2"/>
      <c r="D469" s="2"/>
    </row>
    <row r="470">
      <c r="C470" s="2"/>
      <c r="D470" s="2"/>
    </row>
    <row r="471">
      <c r="C471" s="2"/>
      <c r="D471" s="2"/>
    </row>
    <row r="472">
      <c r="C472" s="2"/>
      <c r="D472" s="2"/>
    </row>
    <row r="473">
      <c r="C473" s="2"/>
      <c r="D473" s="2"/>
    </row>
    <row r="474">
      <c r="C474" s="2"/>
      <c r="D474" s="2"/>
    </row>
    <row r="475">
      <c r="C475" s="2"/>
      <c r="D475" s="2"/>
    </row>
    <row r="476">
      <c r="C476" s="2"/>
      <c r="D476" s="2"/>
    </row>
    <row r="477">
      <c r="C477" s="2"/>
      <c r="D477" s="2"/>
    </row>
    <row r="478">
      <c r="C478" s="2"/>
      <c r="D478" s="2"/>
    </row>
    <row r="479">
      <c r="C479" s="2"/>
      <c r="D479" s="2"/>
    </row>
    <row r="480">
      <c r="C480" s="2"/>
      <c r="D480" s="2"/>
    </row>
    <row r="481">
      <c r="C481" s="2"/>
      <c r="D481" s="2"/>
    </row>
    <row r="482">
      <c r="C482" s="2"/>
      <c r="D482" s="2"/>
    </row>
    <row r="483">
      <c r="C483" s="2"/>
      <c r="D483" s="2"/>
    </row>
    <row r="484">
      <c r="C484" s="2"/>
      <c r="D484" s="2"/>
    </row>
    <row r="485">
      <c r="C485" s="2"/>
      <c r="D485" s="2"/>
    </row>
    <row r="486">
      <c r="C486" s="2"/>
      <c r="D486" s="2"/>
    </row>
    <row r="487">
      <c r="C487" s="2"/>
      <c r="D487" s="2"/>
    </row>
    <row r="488">
      <c r="C488" s="2"/>
      <c r="D488" s="2"/>
    </row>
    <row r="489">
      <c r="C489" s="2"/>
      <c r="D489" s="2"/>
    </row>
    <row r="490">
      <c r="C490" s="2"/>
      <c r="D490" s="2"/>
    </row>
    <row r="491">
      <c r="C491" s="2"/>
      <c r="D491" s="2"/>
    </row>
    <row r="492">
      <c r="C492" s="2"/>
      <c r="D492" s="2"/>
    </row>
    <row r="493">
      <c r="C493" s="2"/>
      <c r="D493" s="2"/>
    </row>
    <row r="494">
      <c r="C494" s="2"/>
      <c r="D494" s="2"/>
    </row>
    <row r="495">
      <c r="C495" s="2"/>
      <c r="D495" s="2"/>
    </row>
    <row r="496">
      <c r="C496" s="2"/>
      <c r="D496" s="2"/>
    </row>
    <row r="497">
      <c r="C497" s="2"/>
      <c r="D497" s="2"/>
    </row>
    <row r="498">
      <c r="C498" s="2"/>
      <c r="D498" s="2"/>
    </row>
    <row r="499">
      <c r="C499" s="2"/>
      <c r="D499" s="2"/>
    </row>
    <row r="500">
      <c r="C500" s="2"/>
      <c r="D500" s="2"/>
    </row>
    <row r="501">
      <c r="C501" s="2"/>
      <c r="D501" s="2"/>
    </row>
    <row r="502">
      <c r="C502" s="2"/>
      <c r="D502" s="2"/>
    </row>
    <row r="503">
      <c r="C503" s="2"/>
      <c r="D503" s="2"/>
    </row>
    <row r="504">
      <c r="C504" s="2"/>
      <c r="D504" s="2"/>
    </row>
    <row r="505">
      <c r="C505" s="2"/>
      <c r="D505" s="2"/>
    </row>
    <row r="506">
      <c r="C506" s="2"/>
      <c r="D506" s="2"/>
    </row>
    <row r="507">
      <c r="C507" s="2"/>
      <c r="D507" s="2"/>
    </row>
    <row r="508">
      <c r="C508" s="2"/>
      <c r="D508" s="2"/>
    </row>
    <row r="509">
      <c r="C509" s="2"/>
      <c r="D509" s="2"/>
    </row>
    <row r="510">
      <c r="C510" s="2"/>
      <c r="D510" s="2"/>
    </row>
    <row r="511">
      <c r="C511" s="2"/>
      <c r="D511" s="2"/>
    </row>
    <row r="512">
      <c r="C512" s="2"/>
      <c r="D512" s="2"/>
    </row>
    <row r="513">
      <c r="C513" s="2"/>
      <c r="D513" s="2"/>
    </row>
    <row r="514">
      <c r="C514" s="2"/>
      <c r="D514" s="2"/>
    </row>
    <row r="515">
      <c r="C515" s="2"/>
      <c r="D515" s="2"/>
    </row>
    <row r="516">
      <c r="C516" s="2"/>
      <c r="D516" s="2"/>
    </row>
    <row r="517">
      <c r="C517" s="2"/>
      <c r="D517" s="2"/>
    </row>
    <row r="518">
      <c r="C518" s="2"/>
      <c r="D518" s="2"/>
    </row>
    <row r="519">
      <c r="C519" s="2"/>
      <c r="D519" s="2"/>
    </row>
    <row r="520">
      <c r="C520" s="2"/>
      <c r="D520" s="2"/>
    </row>
    <row r="521">
      <c r="C521" s="2"/>
      <c r="D521" s="2"/>
    </row>
    <row r="522">
      <c r="C522" s="2"/>
      <c r="D522" s="2"/>
    </row>
    <row r="523">
      <c r="C523" s="2"/>
      <c r="D523" s="2"/>
    </row>
    <row r="524">
      <c r="C524" s="2"/>
      <c r="D524" s="2"/>
    </row>
    <row r="525">
      <c r="C525" s="2"/>
      <c r="D525" s="2"/>
    </row>
    <row r="526">
      <c r="C526" s="2"/>
      <c r="D526" s="2"/>
    </row>
    <row r="527">
      <c r="C527" s="2"/>
      <c r="D527" s="2"/>
    </row>
    <row r="528">
      <c r="C528" s="2"/>
      <c r="D528" s="2"/>
    </row>
    <row r="529">
      <c r="C529" s="2"/>
      <c r="D529" s="2"/>
    </row>
    <row r="530">
      <c r="C530" s="2"/>
      <c r="D530" s="2"/>
    </row>
    <row r="531">
      <c r="C531" s="2"/>
      <c r="D531" s="2"/>
    </row>
    <row r="532">
      <c r="C532" s="2"/>
      <c r="D532" s="2"/>
    </row>
    <row r="533">
      <c r="C533" s="2"/>
      <c r="D533" s="2"/>
    </row>
    <row r="534">
      <c r="C534" s="2"/>
      <c r="D534" s="2"/>
    </row>
    <row r="535">
      <c r="C535" s="2"/>
      <c r="D535" s="2"/>
    </row>
    <row r="536">
      <c r="C536" s="2"/>
      <c r="D536" s="2"/>
    </row>
    <row r="537">
      <c r="C537" s="2"/>
      <c r="D537" s="2"/>
    </row>
    <row r="538">
      <c r="C538" s="2"/>
      <c r="D538" s="2"/>
    </row>
    <row r="539">
      <c r="C539" s="2"/>
      <c r="D539" s="2"/>
    </row>
    <row r="540">
      <c r="C540" s="2"/>
      <c r="D540" s="2"/>
    </row>
    <row r="541">
      <c r="C541" s="2"/>
      <c r="D541" s="2"/>
    </row>
    <row r="542">
      <c r="C542" s="2"/>
      <c r="D542" s="2"/>
    </row>
    <row r="543">
      <c r="C543" s="2"/>
      <c r="D543" s="2"/>
    </row>
    <row r="544">
      <c r="C544" s="2"/>
      <c r="D544" s="2"/>
    </row>
    <row r="545">
      <c r="C545" s="2"/>
      <c r="D545" s="2"/>
    </row>
    <row r="546">
      <c r="C546" s="2"/>
      <c r="D546" s="2"/>
    </row>
    <row r="547">
      <c r="C547" s="2"/>
      <c r="D547" s="2"/>
    </row>
    <row r="548">
      <c r="C548" s="2"/>
      <c r="D548" s="2"/>
    </row>
    <row r="549">
      <c r="C549" s="2"/>
      <c r="D549" s="2"/>
    </row>
    <row r="550">
      <c r="C550" s="2"/>
      <c r="D550" s="2"/>
    </row>
    <row r="551">
      <c r="C551" s="2"/>
      <c r="D551" s="2"/>
    </row>
    <row r="552">
      <c r="C552" s="2"/>
      <c r="D552" s="2"/>
    </row>
    <row r="553">
      <c r="C553" s="2"/>
      <c r="D553" s="2"/>
    </row>
    <row r="554">
      <c r="C554" s="2"/>
      <c r="D554" s="2"/>
    </row>
    <row r="555">
      <c r="C555" s="2"/>
      <c r="D555" s="2"/>
    </row>
    <row r="556">
      <c r="C556" s="2"/>
      <c r="D556" s="2"/>
    </row>
    <row r="557">
      <c r="C557" s="2"/>
      <c r="D557" s="2"/>
    </row>
    <row r="558">
      <c r="C558" s="2"/>
      <c r="D558" s="2"/>
    </row>
    <row r="559">
      <c r="C559" s="2"/>
      <c r="D559" s="2"/>
    </row>
    <row r="560">
      <c r="C560" s="2"/>
      <c r="D560" s="2"/>
    </row>
    <row r="561">
      <c r="C561" s="2"/>
      <c r="D561" s="2"/>
    </row>
    <row r="562">
      <c r="C562" s="2"/>
      <c r="D562" s="2"/>
    </row>
    <row r="563">
      <c r="C563" s="2"/>
      <c r="D563" s="2"/>
    </row>
    <row r="564">
      <c r="C564" s="2"/>
      <c r="D564" s="2"/>
    </row>
    <row r="565">
      <c r="C565" s="2"/>
      <c r="D565" s="2"/>
    </row>
    <row r="566">
      <c r="C566" s="2"/>
      <c r="D566" s="2"/>
    </row>
    <row r="567">
      <c r="C567" s="2"/>
      <c r="D567" s="2"/>
    </row>
    <row r="568">
      <c r="C568" s="2"/>
      <c r="D568" s="2"/>
    </row>
    <row r="569">
      <c r="C569" s="2"/>
      <c r="D569" s="2"/>
    </row>
    <row r="570">
      <c r="C570" s="2"/>
      <c r="D570" s="2"/>
    </row>
    <row r="571">
      <c r="C571" s="2"/>
      <c r="D571" s="2"/>
    </row>
    <row r="572">
      <c r="C572" s="2"/>
      <c r="D572" s="2"/>
    </row>
    <row r="573">
      <c r="C573" s="2"/>
      <c r="D573" s="2"/>
    </row>
    <row r="574">
      <c r="C574" s="2"/>
      <c r="D574" s="2"/>
    </row>
    <row r="575">
      <c r="C575" s="2"/>
      <c r="D575" s="2"/>
    </row>
    <row r="576">
      <c r="C576" s="2"/>
      <c r="D576" s="2"/>
    </row>
    <row r="577">
      <c r="C577" s="2"/>
      <c r="D577" s="2"/>
    </row>
    <row r="578">
      <c r="C578" s="2"/>
      <c r="D578" s="2"/>
    </row>
    <row r="579">
      <c r="C579" s="2"/>
      <c r="D579" s="2"/>
    </row>
    <row r="580">
      <c r="C580" s="2"/>
      <c r="D580" s="2"/>
    </row>
    <row r="581">
      <c r="C581" s="2"/>
      <c r="D581" s="2"/>
    </row>
    <row r="582">
      <c r="C582" s="2"/>
      <c r="D582" s="2"/>
    </row>
    <row r="583">
      <c r="C583" s="2"/>
      <c r="D583" s="2"/>
    </row>
    <row r="584">
      <c r="C584" s="2"/>
      <c r="D584" s="2"/>
    </row>
    <row r="585">
      <c r="C585" s="2"/>
      <c r="D585" s="2"/>
    </row>
    <row r="586">
      <c r="C586" s="2"/>
      <c r="D586" s="2"/>
    </row>
    <row r="587">
      <c r="C587" s="2"/>
      <c r="D587" s="2"/>
    </row>
    <row r="588">
      <c r="C588" s="2"/>
      <c r="D588" s="2"/>
    </row>
    <row r="589">
      <c r="C589" s="2"/>
      <c r="D589" s="2"/>
    </row>
    <row r="590">
      <c r="C590" s="2"/>
      <c r="D590" s="2"/>
    </row>
    <row r="591">
      <c r="C591" s="2"/>
      <c r="D591" s="2"/>
    </row>
    <row r="592">
      <c r="C592" s="2"/>
      <c r="D592" s="2"/>
    </row>
    <row r="593">
      <c r="C593" s="2"/>
      <c r="D593" s="2"/>
    </row>
    <row r="594">
      <c r="C594" s="2"/>
      <c r="D594" s="2"/>
    </row>
    <row r="595">
      <c r="C595" s="2"/>
      <c r="D595" s="2"/>
    </row>
    <row r="596">
      <c r="C596" s="2"/>
      <c r="D596" s="2"/>
    </row>
    <row r="597">
      <c r="C597" s="2"/>
      <c r="D597" s="2"/>
    </row>
    <row r="598">
      <c r="C598" s="2"/>
      <c r="D598" s="2"/>
    </row>
    <row r="599">
      <c r="C599" s="2"/>
      <c r="D599" s="2"/>
    </row>
    <row r="600">
      <c r="C600" s="2"/>
      <c r="D600" s="2"/>
    </row>
    <row r="601">
      <c r="C601" s="2"/>
      <c r="D601" s="2"/>
    </row>
    <row r="602">
      <c r="C602" s="2"/>
      <c r="D602" s="2"/>
    </row>
    <row r="603">
      <c r="C603" s="2"/>
      <c r="D603" s="2"/>
    </row>
    <row r="604">
      <c r="C604" s="2"/>
      <c r="D604" s="2"/>
    </row>
    <row r="605">
      <c r="C605" s="2"/>
      <c r="D605" s="2"/>
    </row>
    <row r="606">
      <c r="C606" s="2"/>
      <c r="D606" s="2"/>
    </row>
    <row r="607">
      <c r="C607" s="2"/>
      <c r="D607" s="2"/>
    </row>
    <row r="608">
      <c r="C608" s="2"/>
      <c r="D608" s="2"/>
    </row>
    <row r="609">
      <c r="C609" s="2"/>
      <c r="D609" s="2"/>
    </row>
    <row r="610">
      <c r="C610" s="2"/>
      <c r="D610" s="2"/>
    </row>
    <row r="611">
      <c r="C611" s="2"/>
      <c r="D611" s="2"/>
    </row>
    <row r="612">
      <c r="C612" s="2"/>
      <c r="D612" s="2"/>
    </row>
    <row r="613">
      <c r="C613" s="2"/>
      <c r="D613" s="2"/>
    </row>
    <row r="614">
      <c r="C614" s="2"/>
      <c r="D614" s="2"/>
    </row>
    <row r="615">
      <c r="C615" s="2"/>
      <c r="D615" s="2"/>
    </row>
    <row r="616">
      <c r="C616" s="2"/>
      <c r="D616" s="2"/>
    </row>
    <row r="617">
      <c r="C617" s="2"/>
      <c r="D617" s="2"/>
    </row>
    <row r="618">
      <c r="C618" s="2"/>
      <c r="D618" s="2"/>
    </row>
    <row r="619">
      <c r="C619" s="2"/>
      <c r="D619" s="2"/>
    </row>
    <row r="620">
      <c r="C620" s="2"/>
      <c r="D620" s="2"/>
    </row>
    <row r="621">
      <c r="C621" s="2"/>
      <c r="D621" s="2"/>
    </row>
    <row r="622">
      <c r="C622" s="2"/>
      <c r="D622" s="2"/>
    </row>
    <row r="623">
      <c r="C623" s="2"/>
      <c r="D623" s="2"/>
    </row>
    <row r="624">
      <c r="C624" s="2"/>
      <c r="D624" s="2"/>
    </row>
    <row r="625">
      <c r="C625" s="2"/>
      <c r="D625" s="2"/>
    </row>
    <row r="626">
      <c r="C626" s="2"/>
      <c r="D626" s="2"/>
    </row>
    <row r="627">
      <c r="C627" s="2"/>
      <c r="D627" s="2"/>
    </row>
    <row r="628">
      <c r="C628" s="2"/>
      <c r="D628" s="2"/>
    </row>
    <row r="629">
      <c r="C629" s="2"/>
      <c r="D629" s="2"/>
    </row>
    <row r="630">
      <c r="C630" s="2"/>
      <c r="D630" s="2"/>
    </row>
    <row r="631">
      <c r="C631" s="2"/>
      <c r="D631" s="2"/>
    </row>
    <row r="632">
      <c r="C632" s="2"/>
      <c r="D632" s="2"/>
    </row>
    <row r="633">
      <c r="C633" s="2"/>
      <c r="D633" s="2"/>
    </row>
    <row r="634">
      <c r="C634" s="2"/>
      <c r="D634" s="2"/>
    </row>
    <row r="635">
      <c r="C635" s="2"/>
      <c r="D635" s="2"/>
    </row>
    <row r="636">
      <c r="C636" s="2"/>
      <c r="D636" s="2"/>
    </row>
    <row r="637">
      <c r="C637" s="2"/>
      <c r="D637" s="2"/>
    </row>
    <row r="638">
      <c r="C638" s="2"/>
      <c r="D638" s="2"/>
    </row>
    <row r="639">
      <c r="C639" s="2"/>
      <c r="D639" s="2"/>
    </row>
    <row r="640">
      <c r="C640" s="2"/>
      <c r="D640" s="2"/>
    </row>
    <row r="641">
      <c r="C641" s="2"/>
      <c r="D641" s="2"/>
    </row>
    <row r="642">
      <c r="C642" s="2"/>
      <c r="D642" s="2"/>
    </row>
    <row r="643">
      <c r="C643" s="2"/>
      <c r="D643" s="2"/>
    </row>
    <row r="644">
      <c r="C644" s="2"/>
      <c r="D644" s="2"/>
    </row>
    <row r="645">
      <c r="C645" s="2"/>
      <c r="D645" s="2"/>
    </row>
    <row r="646">
      <c r="C646" s="2"/>
      <c r="D646" s="2"/>
    </row>
    <row r="647">
      <c r="C647" s="2"/>
      <c r="D647" s="2"/>
    </row>
    <row r="648">
      <c r="C648" s="2"/>
      <c r="D648" s="2"/>
    </row>
    <row r="649">
      <c r="C649" s="2"/>
      <c r="D649" s="2"/>
    </row>
    <row r="650">
      <c r="C650" s="2"/>
      <c r="D650" s="2"/>
    </row>
    <row r="651">
      <c r="C651" s="2"/>
      <c r="D651" s="2"/>
    </row>
    <row r="652">
      <c r="C652" s="2"/>
      <c r="D652" s="2"/>
    </row>
    <row r="653">
      <c r="C653" s="2"/>
      <c r="D653" s="2"/>
    </row>
    <row r="654">
      <c r="C654" s="2"/>
      <c r="D654" s="2"/>
    </row>
    <row r="655">
      <c r="C655" s="2"/>
      <c r="D655" s="2"/>
    </row>
    <row r="656">
      <c r="C656" s="2"/>
      <c r="D656" s="2"/>
    </row>
    <row r="657">
      <c r="C657" s="2"/>
      <c r="D657" s="2"/>
    </row>
    <row r="658">
      <c r="C658" s="2"/>
      <c r="D658" s="2"/>
    </row>
    <row r="659">
      <c r="C659" s="2"/>
      <c r="D659" s="2"/>
    </row>
    <row r="660">
      <c r="C660" s="2"/>
      <c r="D660" s="2"/>
    </row>
    <row r="661">
      <c r="C661" s="2"/>
      <c r="D661" s="2"/>
    </row>
    <row r="662">
      <c r="C662" s="2"/>
      <c r="D662" s="2"/>
    </row>
    <row r="663">
      <c r="C663" s="2"/>
      <c r="D663" s="2"/>
    </row>
    <row r="664">
      <c r="C664" s="2"/>
      <c r="D664" s="2"/>
    </row>
    <row r="665">
      <c r="C665" s="2"/>
      <c r="D665" s="2"/>
    </row>
    <row r="666">
      <c r="C666" s="2"/>
      <c r="D666" s="2"/>
    </row>
    <row r="667">
      <c r="C667" s="2"/>
      <c r="D667" s="2"/>
    </row>
    <row r="668">
      <c r="C668" s="2"/>
      <c r="D668" s="2"/>
    </row>
    <row r="669">
      <c r="C669" s="2"/>
      <c r="D669" s="2"/>
    </row>
    <row r="670">
      <c r="C670" s="2"/>
      <c r="D670" s="2"/>
    </row>
    <row r="671">
      <c r="C671" s="2"/>
      <c r="D671" s="2"/>
    </row>
    <row r="672">
      <c r="C672" s="2"/>
      <c r="D672" s="2"/>
    </row>
    <row r="673">
      <c r="C673" s="2"/>
      <c r="D673" s="2"/>
    </row>
    <row r="674">
      <c r="C674" s="2"/>
      <c r="D674" s="2"/>
    </row>
    <row r="675">
      <c r="C675" s="2"/>
      <c r="D675" s="2"/>
    </row>
    <row r="676">
      <c r="C676" s="2"/>
      <c r="D676" s="2"/>
    </row>
    <row r="677">
      <c r="C677" s="2"/>
      <c r="D677" s="2"/>
    </row>
    <row r="678">
      <c r="C678" s="2"/>
      <c r="D678" s="2"/>
    </row>
    <row r="679">
      <c r="C679" s="2"/>
      <c r="D679" s="2"/>
    </row>
    <row r="680">
      <c r="C680" s="2"/>
      <c r="D680" s="2"/>
    </row>
    <row r="681">
      <c r="C681" s="2"/>
      <c r="D681" s="2"/>
    </row>
    <row r="682">
      <c r="C682" s="2"/>
      <c r="D682" s="2"/>
    </row>
    <row r="683">
      <c r="C683" s="2"/>
      <c r="D683" s="2"/>
    </row>
    <row r="684">
      <c r="C684" s="2"/>
      <c r="D684" s="2"/>
    </row>
    <row r="685">
      <c r="C685" s="2"/>
      <c r="D685" s="2"/>
    </row>
    <row r="686">
      <c r="C686" s="2"/>
      <c r="D686" s="2"/>
    </row>
    <row r="687">
      <c r="C687" s="2"/>
      <c r="D687" s="2"/>
    </row>
    <row r="688">
      <c r="C688" s="2"/>
      <c r="D688" s="2"/>
    </row>
    <row r="689">
      <c r="C689" s="2"/>
      <c r="D689" s="2"/>
    </row>
    <row r="690">
      <c r="C690" s="2"/>
      <c r="D690" s="2"/>
    </row>
    <row r="691">
      <c r="C691" s="2"/>
      <c r="D691" s="2"/>
    </row>
    <row r="692">
      <c r="C692" s="2"/>
      <c r="D692" s="2"/>
    </row>
    <row r="693">
      <c r="C693" s="2"/>
      <c r="D693" s="2"/>
    </row>
    <row r="694">
      <c r="C694" s="2"/>
      <c r="D694" s="2"/>
    </row>
    <row r="695">
      <c r="C695" s="2"/>
      <c r="D695" s="2"/>
    </row>
    <row r="696">
      <c r="C696" s="2"/>
      <c r="D696" s="2"/>
    </row>
    <row r="697">
      <c r="C697" s="2"/>
      <c r="D697" s="2"/>
    </row>
    <row r="698">
      <c r="C698" s="2"/>
      <c r="D698" s="2"/>
    </row>
    <row r="699">
      <c r="C699" s="2"/>
      <c r="D699" s="2"/>
    </row>
    <row r="700">
      <c r="C700" s="2"/>
      <c r="D700" s="2"/>
    </row>
    <row r="701">
      <c r="C701" s="2"/>
      <c r="D701" s="2"/>
    </row>
    <row r="702">
      <c r="C702" s="2"/>
      <c r="D702" s="2"/>
    </row>
    <row r="703">
      <c r="C703" s="2"/>
      <c r="D703" s="2"/>
    </row>
    <row r="704">
      <c r="C704" s="2"/>
      <c r="D704" s="2"/>
    </row>
    <row r="705">
      <c r="C705" s="2"/>
      <c r="D705" s="2"/>
    </row>
    <row r="706">
      <c r="C706" s="2"/>
      <c r="D706" s="2"/>
    </row>
    <row r="707">
      <c r="C707" s="2"/>
      <c r="D707" s="2"/>
    </row>
    <row r="708">
      <c r="C708" s="2"/>
      <c r="D708" s="2"/>
    </row>
    <row r="709">
      <c r="C709" s="2"/>
      <c r="D709" s="2"/>
    </row>
    <row r="710">
      <c r="C710" s="2"/>
      <c r="D710" s="2"/>
    </row>
    <row r="711">
      <c r="C711" s="2"/>
      <c r="D711" s="2"/>
    </row>
    <row r="712">
      <c r="C712" s="2"/>
      <c r="D712" s="2"/>
    </row>
    <row r="713">
      <c r="C713" s="2"/>
      <c r="D713" s="2"/>
    </row>
    <row r="714">
      <c r="C714" s="2"/>
      <c r="D714" s="2"/>
    </row>
    <row r="715">
      <c r="C715" s="2"/>
      <c r="D715" s="2"/>
    </row>
    <row r="716">
      <c r="C716" s="2"/>
      <c r="D716" s="2"/>
    </row>
    <row r="717">
      <c r="C717" s="2"/>
      <c r="D717" s="2"/>
    </row>
    <row r="718">
      <c r="C718" s="2"/>
      <c r="D718" s="2"/>
    </row>
    <row r="719">
      <c r="C719" s="2"/>
      <c r="D719" s="2"/>
    </row>
    <row r="720">
      <c r="C720" s="2"/>
      <c r="D720" s="2"/>
    </row>
    <row r="721">
      <c r="C721" s="2"/>
      <c r="D721" s="2"/>
    </row>
    <row r="722">
      <c r="C722" s="2"/>
      <c r="D722" s="2"/>
    </row>
    <row r="723">
      <c r="C723" s="2"/>
      <c r="D723" s="2"/>
    </row>
    <row r="724">
      <c r="C724" s="2"/>
      <c r="D724" s="2"/>
    </row>
    <row r="725">
      <c r="C725" s="2"/>
      <c r="D725" s="2"/>
    </row>
    <row r="726">
      <c r="C726" s="2"/>
      <c r="D726" s="2"/>
    </row>
    <row r="727">
      <c r="C727" s="2"/>
      <c r="D727" s="2"/>
    </row>
    <row r="728">
      <c r="C728" s="2"/>
      <c r="D728" s="2"/>
    </row>
    <row r="729">
      <c r="C729" s="2"/>
      <c r="D729" s="2"/>
    </row>
    <row r="730">
      <c r="C730" s="2"/>
      <c r="D730" s="2"/>
    </row>
    <row r="731">
      <c r="C731" s="2"/>
      <c r="D731" s="2"/>
    </row>
    <row r="732">
      <c r="C732" s="2"/>
      <c r="D732" s="2"/>
    </row>
    <row r="733">
      <c r="C733" s="2"/>
      <c r="D733" s="2"/>
    </row>
    <row r="734">
      <c r="C734" s="2"/>
      <c r="D734" s="2"/>
    </row>
    <row r="735">
      <c r="C735" s="2"/>
      <c r="D735" s="2"/>
    </row>
    <row r="736">
      <c r="C736" s="2"/>
      <c r="D736" s="2"/>
    </row>
    <row r="737">
      <c r="C737" s="2"/>
      <c r="D737" s="2"/>
    </row>
    <row r="738">
      <c r="C738" s="2"/>
      <c r="D738" s="2"/>
    </row>
    <row r="739">
      <c r="C739" s="2"/>
      <c r="D739" s="2"/>
    </row>
    <row r="740">
      <c r="C740" s="2"/>
      <c r="D740" s="2"/>
    </row>
    <row r="741">
      <c r="C741" s="2"/>
      <c r="D741" s="2"/>
    </row>
    <row r="742">
      <c r="C742" s="2"/>
      <c r="D742" s="2"/>
    </row>
    <row r="743">
      <c r="C743" s="2"/>
      <c r="D743" s="2"/>
    </row>
    <row r="744">
      <c r="C744" s="2"/>
      <c r="D744" s="2"/>
    </row>
    <row r="745">
      <c r="C745" s="2"/>
      <c r="D745" s="2"/>
    </row>
    <row r="746">
      <c r="C746" s="2"/>
      <c r="D746" s="2"/>
    </row>
    <row r="747">
      <c r="C747" s="2"/>
      <c r="D747" s="2"/>
    </row>
    <row r="748">
      <c r="C748" s="2"/>
      <c r="D748" s="2"/>
    </row>
    <row r="749">
      <c r="C749" s="2"/>
      <c r="D749" s="2"/>
    </row>
    <row r="750">
      <c r="C750" s="2"/>
      <c r="D750" s="2"/>
    </row>
    <row r="751">
      <c r="C751" s="2"/>
      <c r="D751" s="2"/>
    </row>
    <row r="752">
      <c r="C752" s="2"/>
      <c r="D752" s="2"/>
    </row>
    <row r="753">
      <c r="C753" s="2"/>
      <c r="D753" s="2"/>
    </row>
    <row r="754">
      <c r="C754" s="2"/>
      <c r="D754" s="2"/>
    </row>
    <row r="755">
      <c r="C755" s="2"/>
      <c r="D755" s="2"/>
    </row>
    <row r="756">
      <c r="C756" s="2"/>
      <c r="D756" s="2"/>
    </row>
    <row r="757">
      <c r="C757" s="2"/>
      <c r="D757" s="2"/>
    </row>
    <row r="758">
      <c r="C758" s="2"/>
      <c r="D758" s="2"/>
    </row>
    <row r="759">
      <c r="C759" s="2"/>
      <c r="D759" s="2"/>
    </row>
    <row r="760">
      <c r="C760" s="2"/>
      <c r="D760" s="2"/>
    </row>
    <row r="761">
      <c r="C761" s="2"/>
      <c r="D761" s="2"/>
    </row>
    <row r="762">
      <c r="C762" s="2"/>
      <c r="D762" s="2"/>
    </row>
    <row r="763">
      <c r="C763" s="2"/>
      <c r="D763" s="2"/>
    </row>
    <row r="764">
      <c r="C764" s="2"/>
      <c r="D764" s="2"/>
    </row>
    <row r="765">
      <c r="C765" s="2"/>
      <c r="D765" s="2"/>
    </row>
    <row r="766">
      <c r="C766" s="2"/>
      <c r="D766" s="2"/>
    </row>
    <row r="767">
      <c r="C767" s="2"/>
      <c r="D767" s="2"/>
    </row>
    <row r="768">
      <c r="C768" s="2"/>
      <c r="D768" s="2"/>
    </row>
    <row r="769">
      <c r="C769" s="2"/>
      <c r="D769" s="2"/>
    </row>
    <row r="770">
      <c r="C770" s="2"/>
      <c r="D770" s="2"/>
    </row>
    <row r="771">
      <c r="C771" s="2"/>
      <c r="D771" s="2"/>
    </row>
    <row r="772">
      <c r="C772" s="2"/>
      <c r="D772" s="2"/>
    </row>
    <row r="773">
      <c r="C773" s="2"/>
      <c r="D773" s="2"/>
    </row>
    <row r="774">
      <c r="C774" s="2"/>
      <c r="D774" s="2"/>
    </row>
    <row r="775">
      <c r="C775" s="2"/>
      <c r="D775" s="2"/>
    </row>
    <row r="776">
      <c r="C776" s="2"/>
      <c r="D776" s="2"/>
    </row>
    <row r="777">
      <c r="C777" s="2"/>
      <c r="D777" s="2"/>
    </row>
    <row r="778">
      <c r="C778" s="2"/>
      <c r="D778" s="2"/>
    </row>
    <row r="779">
      <c r="C779" s="2"/>
      <c r="D779" s="2"/>
    </row>
    <row r="780">
      <c r="C780" s="2"/>
      <c r="D780" s="2"/>
    </row>
    <row r="781">
      <c r="C781" s="2"/>
      <c r="D781" s="2"/>
    </row>
    <row r="782">
      <c r="C782" s="2"/>
      <c r="D782" s="2"/>
    </row>
    <row r="783">
      <c r="C783" s="2"/>
      <c r="D783" s="2"/>
    </row>
    <row r="784">
      <c r="C784" s="2"/>
      <c r="D784" s="2"/>
    </row>
    <row r="785">
      <c r="C785" s="2"/>
      <c r="D785" s="2"/>
    </row>
    <row r="786">
      <c r="C786" s="2"/>
      <c r="D786" s="2"/>
    </row>
    <row r="787">
      <c r="C787" s="2"/>
      <c r="D787" s="2"/>
    </row>
    <row r="788">
      <c r="C788" s="2"/>
      <c r="D788" s="2"/>
    </row>
    <row r="789">
      <c r="C789" s="2"/>
      <c r="D789" s="2"/>
    </row>
    <row r="790">
      <c r="C790" s="2"/>
      <c r="D790" s="2"/>
    </row>
    <row r="791">
      <c r="C791" s="2"/>
      <c r="D791" s="2"/>
    </row>
    <row r="792">
      <c r="C792" s="2"/>
      <c r="D792" s="2"/>
    </row>
    <row r="793">
      <c r="C793" s="2"/>
      <c r="D793" s="2"/>
    </row>
    <row r="794">
      <c r="C794" s="2"/>
      <c r="D794" s="2"/>
    </row>
    <row r="795">
      <c r="C795" s="2"/>
      <c r="D795" s="2"/>
    </row>
    <row r="796">
      <c r="C796" s="2"/>
      <c r="D796" s="2"/>
    </row>
    <row r="797">
      <c r="C797" s="2"/>
      <c r="D797" s="2"/>
    </row>
    <row r="798">
      <c r="C798" s="2"/>
      <c r="D798" s="2"/>
    </row>
    <row r="799">
      <c r="C799" s="2"/>
      <c r="D799" s="2"/>
    </row>
    <row r="800">
      <c r="C800" s="2"/>
      <c r="D800" s="2"/>
    </row>
    <row r="801">
      <c r="C801" s="2"/>
      <c r="D801" s="2"/>
    </row>
    <row r="802">
      <c r="C802" s="2"/>
      <c r="D802" s="2"/>
    </row>
    <row r="803">
      <c r="C803" s="2"/>
      <c r="D803" s="2"/>
    </row>
    <row r="804">
      <c r="C804" s="2"/>
      <c r="D804" s="2"/>
    </row>
    <row r="805">
      <c r="C805" s="2"/>
      <c r="D805" s="2"/>
    </row>
    <row r="806">
      <c r="C806" s="2"/>
      <c r="D806" s="2"/>
    </row>
    <row r="807">
      <c r="C807" s="2"/>
      <c r="D807" s="2"/>
    </row>
    <row r="808">
      <c r="C808" s="2"/>
      <c r="D808" s="2"/>
    </row>
    <row r="809">
      <c r="C809" s="2"/>
      <c r="D809" s="2"/>
    </row>
    <row r="810">
      <c r="C810" s="2"/>
      <c r="D810" s="2"/>
    </row>
    <row r="811">
      <c r="C811" s="2"/>
      <c r="D811" s="2"/>
    </row>
    <row r="812">
      <c r="C812" s="2"/>
      <c r="D812" s="2"/>
    </row>
    <row r="813">
      <c r="C813" s="2"/>
      <c r="D813" s="2"/>
    </row>
    <row r="814">
      <c r="C814" s="2"/>
      <c r="D814" s="2"/>
    </row>
    <row r="815">
      <c r="C815" s="2"/>
      <c r="D815" s="2"/>
    </row>
    <row r="816">
      <c r="C816" s="2"/>
      <c r="D816" s="2"/>
    </row>
    <row r="817">
      <c r="C817" s="2"/>
      <c r="D817" s="2"/>
    </row>
    <row r="818">
      <c r="C818" s="2"/>
      <c r="D818" s="2"/>
    </row>
    <row r="819">
      <c r="C819" s="2"/>
      <c r="D819" s="2"/>
    </row>
    <row r="820">
      <c r="C820" s="2"/>
      <c r="D820" s="2"/>
    </row>
    <row r="821">
      <c r="C821" s="2"/>
      <c r="D821" s="2"/>
    </row>
    <row r="822">
      <c r="C822" s="2"/>
      <c r="D822" s="2"/>
    </row>
    <row r="823">
      <c r="C823" s="2"/>
      <c r="D823" s="2"/>
    </row>
    <row r="824">
      <c r="C824" s="2"/>
      <c r="D824" s="2"/>
    </row>
    <row r="825">
      <c r="C825" s="2"/>
      <c r="D825" s="2"/>
    </row>
    <row r="826">
      <c r="C826" s="2"/>
      <c r="D826" s="2"/>
    </row>
    <row r="827">
      <c r="C827" s="2"/>
      <c r="D827" s="2"/>
    </row>
    <row r="828">
      <c r="C828" s="2"/>
      <c r="D828" s="2"/>
    </row>
    <row r="829">
      <c r="C829" s="2"/>
      <c r="D829" s="2"/>
    </row>
    <row r="830">
      <c r="C830" s="2"/>
      <c r="D830" s="2"/>
    </row>
    <row r="831">
      <c r="C831" s="2"/>
      <c r="D831" s="2"/>
    </row>
    <row r="832">
      <c r="C832" s="2"/>
      <c r="D832" s="2"/>
    </row>
    <row r="833">
      <c r="C833" s="2"/>
      <c r="D833" s="2"/>
    </row>
    <row r="834">
      <c r="C834" s="2"/>
      <c r="D834" s="2"/>
    </row>
    <row r="835">
      <c r="C835" s="2"/>
      <c r="D835" s="2"/>
    </row>
    <row r="836">
      <c r="C836" s="2"/>
      <c r="D836" s="2"/>
    </row>
    <row r="837">
      <c r="C837" s="2"/>
      <c r="D837" s="2"/>
    </row>
    <row r="838">
      <c r="C838" s="2"/>
      <c r="D838" s="2"/>
    </row>
    <row r="839">
      <c r="C839" s="2"/>
      <c r="D839" s="2"/>
    </row>
    <row r="840">
      <c r="C840" s="2"/>
      <c r="D840" s="2"/>
    </row>
    <row r="841">
      <c r="C841" s="2"/>
      <c r="D841" s="2"/>
    </row>
    <row r="842">
      <c r="C842" s="2"/>
      <c r="D842" s="2"/>
    </row>
    <row r="843">
      <c r="C843" s="2"/>
      <c r="D843" s="2"/>
    </row>
    <row r="844">
      <c r="C844" s="2"/>
      <c r="D844" s="2"/>
    </row>
    <row r="845">
      <c r="C845" s="2"/>
      <c r="D845" s="2"/>
    </row>
    <row r="846">
      <c r="C846" s="2"/>
      <c r="D846" s="2"/>
    </row>
    <row r="847">
      <c r="C847" s="2"/>
      <c r="D847" s="2"/>
    </row>
    <row r="848">
      <c r="C848" s="2"/>
      <c r="D848" s="2"/>
    </row>
    <row r="849">
      <c r="C849" s="2"/>
      <c r="D849" s="2"/>
    </row>
    <row r="850">
      <c r="C850" s="2"/>
      <c r="D850" s="2"/>
    </row>
    <row r="851">
      <c r="C851" s="2"/>
      <c r="D851" s="2"/>
    </row>
    <row r="852">
      <c r="C852" s="2"/>
      <c r="D852" s="2"/>
    </row>
    <row r="853">
      <c r="C853" s="2"/>
      <c r="D853" s="2"/>
    </row>
    <row r="854">
      <c r="C854" s="2"/>
      <c r="D854" s="2"/>
    </row>
    <row r="855">
      <c r="C855" s="2"/>
      <c r="D855" s="2"/>
    </row>
    <row r="856">
      <c r="C856" s="2"/>
      <c r="D856" s="2"/>
    </row>
    <row r="857">
      <c r="C857" s="2"/>
      <c r="D857" s="2"/>
    </row>
    <row r="858">
      <c r="C858" s="2"/>
      <c r="D858" s="2"/>
    </row>
    <row r="859">
      <c r="C859" s="2"/>
      <c r="D859" s="2"/>
    </row>
    <row r="860">
      <c r="C860" s="2"/>
      <c r="D860" s="2"/>
    </row>
    <row r="861">
      <c r="C861" s="2"/>
      <c r="D861" s="2"/>
    </row>
    <row r="862">
      <c r="C862" s="2"/>
      <c r="D862" s="2"/>
    </row>
    <row r="863">
      <c r="C863" s="2"/>
      <c r="D863" s="2"/>
    </row>
    <row r="864">
      <c r="C864" s="2"/>
      <c r="D864" s="2"/>
    </row>
    <row r="865">
      <c r="C865" s="2"/>
      <c r="D865" s="2"/>
    </row>
    <row r="866">
      <c r="C866" s="2"/>
      <c r="D866" s="2"/>
    </row>
    <row r="867">
      <c r="C867" s="2"/>
      <c r="D867" s="2"/>
    </row>
    <row r="868">
      <c r="C868" s="2"/>
      <c r="D868" s="2"/>
    </row>
    <row r="869">
      <c r="C869" s="2"/>
      <c r="D869" s="2"/>
    </row>
    <row r="870">
      <c r="C870" s="2"/>
      <c r="D870" s="2"/>
    </row>
    <row r="871">
      <c r="C871" s="2"/>
      <c r="D871" s="2"/>
    </row>
    <row r="872">
      <c r="C872" s="2"/>
      <c r="D872" s="2"/>
    </row>
    <row r="873">
      <c r="C873" s="2"/>
      <c r="D873" s="2"/>
    </row>
    <row r="874">
      <c r="C874" s="2"/>
      <c r="D874" s="2"/>
    </row>
    <row r="875">
      <c r="C875" s="2"/>
      <c r="D875" s="2"/>
    </row>
    <row r="876">
      <c r="C876" s="2"/>
      <c r="D876" s="2"/>
    </row>
    <row r="877">
      <c r="C877" s="2"/>
      <c r="D877" s="2"/>
    </row>
    <row r="878">
      <c r="C878" s="2"/>
      <c r="D878" s="2"/>
    </row>
    <row r="879">
      <c r="C879" s="2"/>
      <c r="D879" s="2"/>
    </row>
    <row r="880">
      <c r="C880" s="2"/>
      <c r="D880" s="2"/>
    </row>
    <row r="881">
      <c r="C881" s="2"/>
      <c r="D881" s="2"/>
    </row>
    <row r="882">
      <c r="C882" s="2"/>
      <c r="D882" s="2"/>
    </row>
    <row r="883">
      <c r="C883" s="2"/>
      <c r="D883" s="2"/>
    </row>
    <row r="884">
      <c r="C884" s="2"/>
      <c r="D884" s="2"/>
    </row>
    <row r="885">
      <c r="C885" s="2"/>
      <c r="D885" s="2"/>
    </row>
    <row r="886">
      <c r="C886" s="2"/>
      <c r="D886" s="2"/>
    </row>
    <row r="887">
      <c r="C887" s="2"/>
      <c r="D887" s="2"/>
    </row>
    <row r="888">
      <c r="C888" s="2"/>
      <c r="D888" s="2"/>
    </row>
    <row r="889">
      <c r="C889" s="2"/>
      <c r="D889" s="2"/>
    </row>
    <row r="890">
      <c r="C890" s="2"/>
      <c r="D890" s="2"/>
    </row>
    <row r="891">
      <c r="C891" s="2"/>
      <c r="D891" s="2"/>
    </row>
    <row r="892">
      <c r="C892" s="2"/>
      <c r="D892" s="2"/>
    </row>
    <row r="893">
      <c r="C893" s="2"/>
      <c r="D893" s="2"/>
    </row>
    <row r="894">
      <c r="C894" s="2"/>
      <c r="D894" s="2"/>
    </row>
    <row r="895">
      <c r="C895" s="2"/>
      <c r="D895" s="2"/>
    </row>
    <row r="896">
      <c r="C896" s="2"/>
      <c r="D896" s="2"/>
    </row>
    <row r="897">
      <c r="C897" s="2"/>
      <c r="D897" s="2"/>
    </row>
    <row r="898">
      <c r="C898" s="2"/>
      <c r="D898" s="2"/>
    </row>
    <row r="899">
      <c r="C899" s="2"/>
      <c r="D899" s="2"/>
    </row>
    <row r="900">
      <c r="C900" s="2"/>
      <c r="D900" s="2"/>
    </row>
    <row r="901">
      <c r="C901" s="2"/>
      <c r="D901" s="2"/>
    </row>
    <row r="902">
      <c r="C902" s="2"/>
      <c r="D902" s="2"/>
    </row>
    <row r="903">
      <c r="C903" s="2"/>
      <c r="D903" s="2"/>
    </row>
    <row r="904">
      <c r="C904" s="2"/>
      <c r="D904" s="2"/>
    </row>
    <row r="905">
      <c r="C905" s="2"/>
      <c r="D905" s="2"/>
    </row>
    <row r="906">
      <c r="C906" s="2"/>
      <c r="D906" s="2"/>
    </row>
    <row r="907">
      <c r="C907" s="2"/>
      <c r="D907" s="2"/>
    </row>
    <row r="908">
      <c r="C908" s="2"/>
      <c r="D908" s="2"/>
    </row>
    <row r="909">
      <c r="C909" s="2"/>
      <c r="D909" s="2"/>
    </row>
    <row r="910">
      <c r="C910" s="2"/>
      <c r="D910" s="2"/>
    </row>
    <row r="911">
      <c r="C911" s="2"/>
      <c r="D911" s="2"/>
    </row>
    <row r="912">
      <c r="C912" s="2"/>
      <c r="D912" s="2"/>
    </row>
    <row r="913">
      <c r="C913" s="2"/>
      <c r="D913" s="2"/>
    </row>
    <row r="914">
      <c r="C914" s="2"/>
      <c r="D914" s="2"/>
    </row>
    <row r="915">
      <c r="C915" s="2"/>
      <c r="D915" s="2"/>
    </row>
    <row r="916">
      <c r="C916" s="2"/>
      <c r="D916" s="2"/>
    </row>
    <row r="917">
      <c r="C917" s="2"/>
      <c r="D917" s="2"/>
    </row>
    <row r="918">
      <c r="C918" s="2"/>
      <c r="D918" s="2"/>
    </row>
    <row r="919">
      <c r="C919" s="2"/>
      <c r="D919" s="2"/>
    </row>
    <row r="920">
      <c r="C920" s="2"/>
      <c r="D920" s="2"/>
    </row>
    <row r="921">
      <c r="C921" s="2"/>
      <c r="D921" s="2"/>
    </row>
    <row r="922">
      <c r="C922" s="2"/>
      <c r="D922" s="2"/>
    </row>
    <row r="923">
      <c r="C923" s="2"/>
      <c r="D923" s="2"/>
    </row>
    <row r="924">
      <c r="C924" s="2"/>
      <c r="D924" s="2"/>
    </row>
    <row r="925">
      <c r="C925" s="2"/>
      <c r="D925" s="2"/>
    </row>
    <row r="926">
      <c r="C926" s="2"/>
      <c r="D926" s="2"/>
    </row>
    <row r="927">
      <c r="C927" s="2"/>
      <c r="D927" s="2"/>
    </row>
    <row r="928">
      <c r="C928" s="2"/>
      <c r="D928" s="2"/>
    </row>
    <row r="929">
      <c r="C929" s="2"/>
      <c r="D929" s="2"/>
    </row>
    <row r="930">
      <c r="C930" s="2"/>
      <c r="D930" s="2"/>
    </row>
    <row r="931">
      <c r="C931" s="2"/>
      <c r="D931" s="2"/>
    </row>
    <row r="932">
      <c r="C932" s="2"/>
      <c r="D932" s="2"/>
    </row>
    <row r="933">
      <c r="C933" s="2"/>
      <c r="D933" s="2"/>
    </row>
    <row r="934">
      <c r="C934" s="2"/>
      <c r="D934" s="2"/>
    </row>
    <row r="935">
      <c r="C935" s="2"/>
      <c r="D935" s="2"/>
    </row>
    <row r="936">
      <c r="C936" s="2"/>
      <c r="D936" s="2"/>
    </row>
    <row r="937">
      <c r="C937" s="2"/>
      <c r="D937" s="2"/>
    </row>
    <row r="938">
      <c r="C938" s="2"/>
      <c r="D938" s="2"/>
    </row>
    <row r="939">
      <c r="C939" s="2"/>
      <c r="D939" s="2"/>
    </row>
    <row r="940">
      <c r="C940" s="2"/>
      <c r="D940" s="2"/>
    </row>
    <row r="941">
      <c r="C941" s="2"/>
      <c r="D941" s="2"/>
    </row>
    <row r="942">
      <c r="C942" s="2"/>
      <c r="D942" s="2"/>
    </row>
    <row r="943">
      <c r="C943" s="2"/>
      <c r="D943" s="2"/>
    </row>
    <row r="944">
      <c r="C944" s="2"/>
      <c r="D944" s="2"/>
    </row>
    <row r="945">
      <c r="C945" s="2"/>
      <c r="D945" s="2"/>
    </row>
    <row r="946">
      <c r="C946" s="2"/>
      <c r="D946" s="2"/>
    </row>
    <row r="947">
      <c r="C947" s="2"/>
      <c r="D947" s="2"/>
    </row>
    <row r="948">
      <c r="C948" s="2"/>
      <c r="D948" s="2"/>
    </row>
    <row r="949">
      <c r="C949" s="2"/>
      <c r="D949" s="2"/>
    </row>
    <row r="950">
      <c r="C950" s="2"/>
      <c r="D950" s="2"/>
    </row>
    <row r="951">
      <c r="C951" s="2"/>
      <c r="D951" s="2"/>
    </row>
    <row r="952">
      <c r="C952" s="2"/>
      <c r="D952" s="2"/>
    </row>
    <row r="953">
      <c r="C953" s="2"/>
      <c r="D953" s="2"/>
    </row>
    <row r="954">
      <c r="C954" s="2"/>
      <c r="D954" s="2"/>
    </row>
    <row r="955">
      <c r="C955" s="2"/>
      <c r="D955" s="2"/>
    </row>
    <row r="956">
      <c r="C956" s="2"/>
      <c r="D956" s="2"/>
    </row>
    <row r="957">
      <c r="C957" s="2"/>
      <c r="D957" s="2"/>
    </row>
    <row r="958">
      <c r="C958" s="2"/>
      <c r="D958" s="2"/>
    </row>
    <row r="959">
      <c r="C959" s="2"/>
      <c r="D959" s="2"/>
    </row>
    <row r="960">
      <c r="C960" s="2"/>
      <c r="D960" s="2"/>
    </row>
    <row r="961">
      <c r="C961" s="2"/>
      <c r="D961" s="2"/>
    </row>
    <row r="962">
      <c r="C962" s="2"/>
      <c r="D962" s="2"/>
    </row>
    <row r="963">
      <c r="C963" s="2"/>
      <c r="D963" s="2"/>
    </row>
    <row r="964">
      <c r="C964" s="2"/>
      <c r="D964" s="2"/>
    </row>
    <row r="965">
      <c r="C965" s="2"/>
      <c r="D965" s="2"/>
    </row>
    <row r="966">
      <c r="C966" s="2"/>
      <c r="D966" s="2"/>
    </row>
    <row r="967">
      <c r="C967" s="2"/>
      <c r="D967" s="2"/>
    </row>
    <row r="968">
      <c r="C968" s="2"/>
      <c r="D968" s="2"/>
    </row>
    <row r="969">
      <c r="C969" s="2"/>
      <c r="D969" s="2"/>
    </row>
    <row r="970">
      <c r="C970" s="2"/>
      <c r="D970" s="2"/>
    </row>
    <row r="971">
      <c r="C971" s="2"/>
      <c r="D971" s="2"/>
    </row>
    <row r="972">
      <c r="C972" s="2"/>
      <c r="D972" s="2"/>
    </row>
    <row r="973">
      <c r="C973" s="2"/>
      <c r="D973" s="2"/>
    </row>
    <row r="974">
      <c r="C974" s="2"/>
      <c r="D974" s="2"/>
    </row>
    <row r="975">
      <c r="C975" s="2"/>
      <c r="D975" s="2"/>
    </row>
    <row r="976">
      <c r="C976" s="2"/>
      <c r="D976" s="2"/>
    </row>
    <row r="977">
      <c r="C977" s="2"/>
      <c r="D977" s="2"/>
    </row>
    <row r="978">
      <c r="C978" s="2"/>
      <c r="D978" s="2"/>
    </row>
    <row r="979">
      <c r="C979" s="2"/>
      <c r="D979" s="2"/>
    </row>
    <row r="980">
      <c r="C980" s="2"/>
      <c r="D980" s="2"/>
    </row>
    <row r="981">
      <c r="C981" s="2"/>
      <c r="D981" s="2"/>
    </row>
    <row r="982">
      <c r="C982" s="2"/>
      <c r="D982" s="2"/>
    </row>
    <row r="983">
      <c r="C983" s="2"/>
      <c r="D983" s="2"/>
    </row>
    <row r="984">
      <c r="C984" s="2"/>
      <c r="D984" s="2"/>
    </row>
    <row r="985">
      <c r="C985" s="2"/>
      <c r="D985" s="2"/>
    </row>
  </sheetData>
  <mergeCells count="6">
    <mergeCell ref="F13:K16"/>
    <mergeCell ref="F23:I25"/>
    <mergeCell ref="F54:J59"/>
    <mergeCell ref="F67:J72"/>
    <mergeCell ref="F74:J80"/>
    <mergeCell ref="F87:K102"/>
  </mergeCells>
  <hyperlinks>
    <hyperlink r:id="rId1" ref="A11"/>
    <hyperlink r:id="rId2" ref="A21"/>
    <hyperlink r:id="rId3" ref="A31"/>
    <hyperlink r:id="rId4" ref="A65"/>
    <hyperlink r:id="rId5" ref="C65"/>
    <hyperlink r:id="rId6" ref="A85"/>
    <hyperlink r:id="rId7" ref="B127"/>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28.63"/>
    <col customWidth="1" min="4" max="4" width="20.5"/>
    <col customWidth="1" min="6" max="6" width="33.0"/>
    <col customWidth="1" min="11" max="11" width="25.0"/>
    <col customWidth="1" min="12" max="12" width="23.38"/>
  </cols>
  <sheetData>
    <row r="1">
      <c r="A1" s="11" t="s">
        <v>2</v>
      </c>
      <c r="B1" s="5"/>
      <c r="C1" s="6"/>
      <c r="D1" s="5"/>
    </row>
    <row r="2">
      <c r="A2" s="13" t="s">
        <v>9</v>
      </c>
      <c r="B2" s="14" t="s">
        <v>11</v>
      </c>
      <c r="C2" s="6"/>
      <c r="D2" s="5"/>
    </row>
    <row r="3">
      <c r="A3" s="16" t="s">
        <v>13</v>
      </c>
      <c r="B3" s="5" t="s">
        <v>4</v>
      </c>
      <c r="C3" s="6" t="s">
        <v>5</v>
      </c>
      <c r="D3" s="5" t="s">
        <v>6</v>
      </c>
    </row>
    <row r="4">
      <c r="A4" s="19">
        <v>2.0</v>
      </c>
      <c r="B4" s="9" t="s">
        <v>16</v>
      </c>
      <c r="C4" s="21">
        <f>1*A4</f>
        <v>2</v>
      </c>
      <c r="D4" s="27" t="s">
        <v>19</v>
      </c>
      <c r="F4" s="33" t="s">
        <v>21</v>
      </c>
      <c r="G4" s="34"/>
      <c r="H4" s="34"/>
      <c r="I4" s="34"/>
      <c r="J4" s="34"/>
      <c r="K4" s="36"/>
    </row>
    <row r="5">
      <c r="A5" s="38" t="s">
        <v>27</v>
      </c>
      <c r="B5" s="31" t="s">
        <v>30</v>
      </c>
      <c r="C5" s="28">
        <f>1*A4</f>
        <v>2</v>
      </c>
      <c r="D5" s="43" t="s">
        <v>37</v>
      </c>
      <c r="F5" s="45"/>
      <c r="K5" s="47"/>
    </row>
    <row r="6">
      <c r="B6" s="31" t="s">
        <v>39</v>
      </c>
      <c r="C6" s="28">
        <f>1*A4</f>
        <v>2</v>
      </c>
      <c r="D6" s="43" t="s">
        <v>37</v>
      </c>
      <c r="F6" s="54"/>
      <c r="G6" s="55"/>
      <c r="H6" s="55"/>
      <c r="I6" s="55"/>
      <c r="J6" s="55"/>
      <c r="K6" s="56"/>
    </row>
    <row r="7">
      <c r="B7" s="31" t="s">
        <v>42</v>
      </c>
      <c r="C7" s="28">
        <f>0.25*A4</f>
        <v>0.5</v>
      </c>
      <c r="D7" s="43" t="s">
        <v>44</v>
      </c>
    </row>
    <row r="8">
      <c r="B8" s="42" t="s">
        <v>45</v>
      </c>
      <c r="C8" s="46">
        <f>50*A4</f>
        <v>100</v>
      </c>
      <c r="D8" s="58" t="s">
        <v>46</v>
      </c>
    </row>
    <row r="9">
      <c r="B9" s="59"/>
      <c r="C9" s="2"/>
    </row>
    <row r="10">
      <c r="A10" s="59" t="s">
        <v>50</v>
      </c>
      <c r="B10" s="14" t="s">
        <v>51</v>
      </c>
      <c r="C10" s="2"/>
    </row>
    <row r="11">
      <c r="B11" s="5" t="s">
        <v>4</v>
      </c>
      <c r="C11" s="6" t="s">
        <v>5</v>
      </c>
      <c r="D11" s="5" t="s">
        <v>6</v>
      </c>
    </row>
    <row r="12">
      <c r="B12" s="9" t="s">
        <v>53</v>
      </c>
      <c r="C12" s="21">
        <f>300*A4</f>
        <v>600</v>
      </c>
      <c r="D12" s="29" t="s">
        <v>55</v>
      </c>
      <c r="F12" s="63" t="s">
        <v>57</v>
      </c>
      <c r="G12" s="34"/>
      <c r="H12" s="34"/>
      <c r="I12" s="34"/>
      <c r="J12" s="34"/>
      <c r="K12" s="36"/>
    </row>
    <row r="13">
      <c r="B13" s="61" t="s">
        <v>60</v>
      </c>
      <c r="C13" s="40">
        <f>0.5*A4</f>
        <v>1</v>
      </c>
      <c r="D13" s="31" t="s">
        <v>19</v>
      </c>
      <c r="F13" s="45"/>
      <c r="K13" s="47"/>
    </row>
    <row r="14">
      <c r="B14" s="31" t="s">
        <v>62</v>
      </c>
      <c r="C14" s="40">
        <f>0.5*A4</f>
        <v>1</v>
      </c>
      <c r="D14" s="31" t="s">
        <v>19</v>
      </c>
      <c r="F14" s="45"/>
      <c r="K14" s="47"/>
    </row>
    <row r="15">
      <c r="B15" s="31" t="s">
        <v>26</v>
      </c>
      <c r="C15" s="28">
        <f>1*A4</f>
        <v>2</v>
      </c>
      <c r="D15" s="31" t="s">
        <v>19</v>
      </c>
      <c r="F15" s="54"/>
      <c r="G15" s="55"/>
      <c r="H15" s="55"/>
      <c r="I15" s="55"/>
      <c r="J15" s="55"/>
      <c r="K15" s="56"/>
    </row>
    <row r="16">
      <c r="B16" s="31" t="s">
        <v>72</v>
      </c>
      <c r="C16" s="28">
        <f>0.5*A4</f>
        <v>1</v>
      </c>
      <c r="D16" s="31" t="s">
        <v>19</v>
      </c>
      <c r="F16" s="74"/>
      <c r="G16" s="74"/>
      <c r="H16" s="74"/>
      <c r="I16" s="74"/>
      <c r="J16" s="74"/>
      <c r="K16" s="74"/>
    </row>
    <row r="17">
      <c r="B17" s="42" t="s">
        <v>74</v>
      </c>
      <c r="C17" s="46"/>
      <c r="D17" s="42"/>
      <c r="F17" s="74"/>
      <c r="G17" s="74"/>
      <c r="H17" s="74"/>
      <c r="I17" s="74"/>
      <c r="J17" s="74"/>
      <c r="K17" s="74"/>
    </row>
    <row r="18">
      <c r="B18" s="10"/>
      <c r="C18" s="12"/>
      <c r="D18" s="10"/>
      <c r="F18" s="74"/>
      <c r="G18" s="74"/>
      <c r="H18" s="74"/>
      <c r="I18" s="74"/>
      <c r="J18" s="74"/>
      <c r="K18" s="74"/>
    </row>
    <row r="19">
      <c r="A19" s="59" t="s">
        <v>77</v>
      </c>
      <c r="B19" s="14" t="s">
        <v>78</v>
      </c>
      <c r="C19" s="2"/>
      <c r="F19" s="74"/>
      <c r="G19" s="74"/>
      <c r="H19" s="74"/>
      <c r="I19" s="74"/>
      <c r="J19" s="74"/>
      <c r="K19" s="74"/>
    </row>
    <row r="20">
      <c r="B20" s="5" t="s">
        <v>4</v>
      </c>
      <c r="C20" s="6" t="s">
        <v>5</v>
      </c>
      <c r="D20" s="5" t="s">
        <v>6</v>
      </c>
      <c r="F20" s="74"/>
      <c r="G20" s="74"/>
      <c r="H20" s="74"/>
      <c r="I20" s="74"/>
      <c r="J20" s="74"/>
      <c r="K20" s="74"/>
    </row>
    <row r="21">
      <c r="B21" s="9" t="s">
        <v>50</v>
      </c>
      <c r="C21" s="21">
        <f>450*A4</f>
        <v>900</v>
      </c>
      <c r="D21" s="27" t="s">
        <v>46</v>
      </c>
      <c r="F21" s="79" t="s">
        <v>83</v>
      </c>
      <c r="G21" s="34"/>
      <c r="H21" s="34"/>
      <c r="I21" s="34"/>
      <c r="J21" s="34"/>
      <c r="K21" s="36"/>
    </row>
    <row r="22">
      <c r="B22" s="61" t="s">
        <v>88</v>
      </c>
      <c r="C22" s="40">
        <f>150*A4</f>
        <v>300</v>
      </c>
      <c r="D22" s="43" t="s">
        <v>46</v>
      </c>
      <c r="F22" s="54"/>
      <c r="G22" s="55"/>
      <c r="H22" s="55"/>
      <c r="I22" s="55"/>
      <c r="J22" s="55"/>
      <c r="K22" s="56"/>
    </row>
    <row r="23">
      <c r="B23" s="31" t="s">
        <v>30</v>
      </c>
      <c r="C23" s="40">
        <f>1*A4</f>
        <v>2</v>
      </c>
      <c r="D23" s="43" t="s">
        <v>37</v>
      </c>
      <c r="F23" s="74"/>
      <c r="G23" s="74"/>
      <c r="H23" s="74"/>
      <c r="I23" s="74"/>
      <c r="J23" s="74"/>
      <c r="K23" s="74"/>
    </row>
    <row r="24">
      <c r="B24" s="42" t="s">
        <v>95</v>
      </c>
      <c r="C24" s="28">
        <f>0.5*A4</f>
        <v>1</v>
      </c>
      <c r="D24" s="43" t="s">
        <v>19</v>
      </c>
      <c r="F24" s="74"/>
      <c r="G24" s="74"/>
      <c r="H24" s="74"/>
      <c r="I24" s="74"/>
      <c r="J24" s="74"/>
      <c r="K24" s="74"/>
    </row>
    <row r="25">
      <c r="C25" s="46">
        <f>1*A4</f>
        <v>2</v>
      </c>
      <c r="D25" s="58" t="s">
        <v>99</v>
      </c>
      <c r="F25" s="74"/>
      <c r="G25" s="74"/>
      <c r="H25" s="74"/>
      <c r="I25" s="74"/>
      <c r="J25" s="74"/>
      <c r="K25" s="74"/>
    </row>
    <row r="26">
      <c r="C26" s="2"/>
    </row>
    <row r="27">
      <c r="A27" s="59" t="s">
        <v>100</v>
      </c>
      <c r="B27" s="14" t="s">
        <v>101</v>
      </c>
      <c r="C27" s="2"/>
    </row>
    <row r="28">
      <c r="B28" s="5" t="s">
        <v>4</v>
      </c>
      <c r="C28" s="6" t="s">
        <v>5</v>
      </c>
      <c r="D28" s="5" t="s">
        <v>6</v>
      </c>
    </row>
    <row r="29">
      <c r="B29" s="9" t="s">
        <v>102</v>
      </c>
      <c r="C29" s="21">
        <f>1*A4</f>
        <v>2</v>
      </c>
      <c r="D29" s="27" t="s">
        <v>37</v>
      </c>
      <c r="F29" s="97" t="s">
        <v>105</v>
      </c>
      <c r="G29" s="34"/>
      <c r="H29" s="34"/>
      <c r="I29" s="34"/>
      <c r="J29" s="34"/>
      <c r="K29" s="36"/>
    </row>
    <row r="30">
      <c r="B30" s="61" t="s">
        <v>110</v>
      </c>
      <c r="C30" s="40">
        <f>0.5*A4</f>
        <v>1</v>
      </c>
      <c r="D30" s="43" t="s">
        <v>37</v>
      </c>
      <c r="F30" s="45"/>
      <c r="K30" s="47"/>
    </row>
    <row r="31">
      <c r="B31" s="31" t="s">
        <v>30</v>
      </c>
      <c r="C31" s="40">
        <f>1*A4</f>
        <v>2</v>
      </c>
      <c r="D31" s="43" t="s">
        <v>37</v>
      </c>
      <c r="F31" s="45"/>
      <c r="K31" s="47"/>
    </row>
    <row r="32">
      <c r="B32" s="31" t="s">
        <v>113</v>
      </c>
      <c r="C32" s="28">
        <f>0.5*A4</f>
        <v>1</v>
      </c>
      <c r="D32" s="43" t="s">
        <v>19</v>
      </c>
      <c r="F32" s="54"/>
      <c r="G32" s="55"/>
      <c r="H32" s="55"/>
      <c r="I32" s="55"/>
      <c r="J32" s="55"/>
      <c r="K32" s="56"/>
    </row>
    <row r="33">
      <c r="B33" s="65" t="s">
        <v>116</v>
      </c>
      <c r="C33" s="66">
        <f>0.5*A4</f>
        <v>1</v>
      </c>
      <c r="D33" s="100" t="s">
        <v>44</v>
      </c>
    </row>
    <row r="34">
      <c r="B34" s="42" t="s">
        <v>122</v>
      </c>
      <c r="C34" s="46">
        <f>125*A4</f>
        <v>250</v>
      </c>
      <c r="D34" s="58" t="s">
        <v>17</v>
      </c>
    </row>
    <row r="35">
      <c r="B35" s="10"/>
      <c r="C35" s="12"/>
      <c r="D35" s="102"/>
    </row>
    <row r="36">
      <c r="A36" s="59" t="s">
        <v>128</v>
      </c>
      <c r="B36" s="14" t="s">
        <v>101</v>
      </c>
      <c r="C36" s="2"/>
    </row>
    <row r="37">
      <c r="B37" s="5" t="s">
        <v>4</v>
      </c>
      <c r="C37" s="6" t="s">
        <v>5</v>
      </c>
      <c r="D37" s="5" t="s">
        <v>6</v>
      </c>
    </row>
    <row r="38">
      <c r="B38" s="105" t="s">
        <v>129</v>
      </c>
      <c r="C38" s="106">
        <f>100*A4</f>
        <v>200</v>
      </c>
      <c r="D38" s="107" t="s">
        <v>17</v>
      </c>
      <c r="F38" s="108" t="s">
        <v>133</v>
      </c>
      <c r="G38" s="109"/>
      <c r="H38" s="109"/>
      <c r="I38" s="110"/>
    </row>
    <row r="39">
      <c r="C39" s="2"/>
    </row>
    <row r="40">
      <c r="A40" s="111" t="s">
        <v>138</v>
      </c>
      <c r="B40" s="112" t="s">
        <v>139</v>
      </c>
      <c r="C40" s="113"/>
      <c r="D40" s="114"/>
    </row>
    <row r="41">
      <c r="A41" s="111"/>
      <c r="B41" s="115" t="s">
        <v>4</v>
      </c>
      <c r="C41" s="116" t="s">
        <v>5</v>
      </c>
      <c r="D41" s="117" t="s">
        <v>6</v>
      </c>
    </row>
    <row r="42">
      <c r="A42" s="114"/>
      <c r="B42" s="118" t="s">
        <v>143</v>
      </c>
      <c r="C42" s="120">
        <f>100*A4</f>
        <v>200</v>
      </c>
      <c r="D42" s="121" t="s">
        <v>17</v>
      </c>
    </row>
    <row r="43">
      <c r="A43" s="114"/>
      <c r="B43" s="122" t="s">
        <v>148</v>
      </c>
      <c r="C43" s="123">
        <f>1*A4</f>
        <v>2</v>
      </c>
      <c r="D43" s="124" t="s">
        <v>19</v>
      </c>
    </row>
    <row r="44">
      <c r="C44" s="2"/>
    </row>
    <row r="45">
      <c r="A45" s="59"/>
      <c r="C45" s="2"/>
    </row>
    <row r="46">
      <c r="A46" s="125" t="s">
        <v>153</v>
      </c>
      <c r="C46" s="2"/>
    </row>
    <row r="47">
      <c r="A47" s="128" t="s">
        <v>160</v>
      </c>
      <c r="C47" s="2"/>
      <c r="F47" s="62" t="s">
        <v>163</v>
      </c>
      <c r="G47" s="34"/>
      <c r="H47" s="34"/>
      <c r="I47" s="34"/>
      <c r="J47" s="34"/>
      <c r="K47" s="36"/>
    </row>
    <row r="48">
      <c r="A48" s="16" t="s">
        <v>13</v>
      </c>
      <c r="B48" s="14" t="s">
        <v>166</v>
      </c>
      <c r="C48" s="2"/>
      <c r="F48" s="45"/>
      <c r="K48" s="47"/>
    </row>
    <row r="49">
      <c r="A49" s="19">
        <v>8.0</v>
      </c>
      <c r="B49" s="115" t="s">
        <v>4</v>
      </c>
      <c r="C49" s="116" t="s">
        <v>5</v>
      </c>
      <c r="D49" s="117" t="s">
        <v>6</v>
      </c>
      <c r="F49" s="45"/>
      <c r="K49" s="47"/>
    </row>
    <row r="50">
      <c r="B50" s="129" t="s">
        <v>168</v>
      </c>
      <c r="C50" s="22">
        <f>125*A49</f>
        <v>1000</v>
      </c>
      <c r="D50" s="103" t="s">
        <v>17</v>
      </c>
      <c r="F50" s="45"/>
      <c r="K50" s="47"/>
    </row>
    <row r="51">
      <c r="B51" s="85" t="s">
        <v>169</v>
      </c>
      <c r="C51" s="28">
        <f>25*A49</f>
        <v>200</v>
      </c>
      <c r="D51" s="85" t="s">
        <v>17</v>
      </c>
      <c r="F51" s="45"/>
      <c r="K51" s="47"/>
    </row>
    <row r="52">
      <c r="B52" s="85" t="s">
        <v>172</v>
      </c>
      <c r="C52" s="28">
        <f>0.25*A49</f>
        <v>2</v>
      </c>
      <c r="D52" s="85" t="s">
        <v>174</v>
      </c>
      <c r="F52" s="45"/>
      <c r="K52" s="47"/>
    </row>
    <row r="53">
      <c r="B53" s="85" t="s">
        <v>104</v>
      </c>
      <c r="C53" s="28">
        <f>0.25*A49</f>
        <v>2</v>
      </c>
      <c r="D53" s="85" t="s">
        <v>37</v>
      </c>
      <c r="F53" s="45"/>
      <c r="K53" s="47"/>
    </row>
    <row r="54">
      <c r="B54" s="87" t="s">
        <v>175</v>
      </c>
      <c r="C54" s="132">
        <f>0.125*A49</f>
        <v>1</v>
      </c>
      <c r="D54" s="87" t="s">
        <v>44</v>
      </c>
      <c r="F54" s="45"/>
      <c r="K54" s="47"/>
    </row>
    <row r="55">
      <c r="C55" s="2"/>
      <c r="F55" s="45"/>
      <c r="K55" s="47"/>
    </row>
    <row r="56">
      <c r="B56" s="133" t="s">
        <v>151</v>
      </c>
      <c r="C56" s="2"/>
      <c r="F56" s="45"/>
      <c r="K56" s="47"/>
    </row>
    <row r="57">
      <c r="B57" s="115" t="s">
        <v>4</v>
      </c>
      <c r="C57" s="116" t="s">
        <v>5</v>
      </c>
      <c r="D57" s="117" t="s">
        <v>6</v>
      </c>
      <c r="F57" s="45"/>
      <c r="K57" s="47"/>
    </row>
    <row r="58">
      <c r="B58" s="103" t="s">
        <v>178</v>
      </c>
      <c r="C58" s="22">
        <f>0.75*A49</f>
        <v>6</v>
      </c>
      <c r="D58" s="103" t="s">
        <v>37</v>
      </c>
      <c r="F58" s="45"/>
      <c r="K58" s="47"/>
    </row>
    <row r="59">
      <c r="B59" s="85" t="s">
        <v>179</v>
      </c>
      <c r="C59" s="28">
        <f>0.75*A49</f>
        <v>6</v>
      </c>
      <c r="D59" s="85" t="s">
        <v>37</v>
      </c>
      <c r="F59" s="45"/>
      <c r="K59" s="47"/>
    </row>
    <row r="60">
      <c r="B60" s="85" t="s">
        <v>181</v>
      </c>
      <c r="C60" s="28">
        <f>0.25*A49</f>
        <v>2</v>
      </c>
      <c r="D60" s="85" t="s">
        <v>37</v>
      </c>
      <c r="F60" s="45"/>
      <c r="K60" s="47"/>
    </row>
    <row r="61">
      <c r="B61" s="85" t="s">
        <v>185</v>
      </c>
      <c r="C61" s="28">
        <f>0.25*A49</f>
        <v>2</v>
      </c>
      <c r="D61" s="85" t="s">
        <v>37</v>
      </c>
      <c r="F61" s="45"/>
      <c r="K61" s="47"/>
    </row>
    <row r="62">
      <c r="B62" s="85" t="s">
        <v>187</v>
      </c>
      <c r="C62" s="28">
        <f>0.25*A49</f>
        <v>2</v>
      </c>
      <c r="D62" s="85" t="s">
        <v>44</v>
      </c>
      <c r="F62" s="45"/>
      <c r="K62" s="47"/>
    </row>
    <row r="63">
      <c r="B63" s="85" t="s">
        <v>190</v>
      </c>
      <c r="C63" s="28">
        <f>0.25*A49</f>
        <v>2</v>
      </c>
      <c r="D63" s="85" t="s">
        <v>44</v>
      </c>
      <c r="F63" s="45"/>
      <c r="K63" s="47"/>
    </row>
    <row r="64">
      <c r="B64" s="85" t="s">
        <v>193</v>
      </c>
      <c r="C64" s="28">
        <f>0.25*A49</f>
        <v>2</v>
      </c>
      <c r="D64" s="85" t="s">
        <v>37</v>
      </c>
      <c r="F64" s="45"/>
      <c r="K64" s="47"/>
    </row>
    <row r="65">
      <c r="B65" s="85" t="s">
        <v>195</v>
      </c>
      <c r="C65" s="28">
        <f>0.25*A49</f>
        <v>2</v>
      </c>
      <c r="D65" s="85" t="s">
        <v>19</v>
      </c>
      <c r="F65" s="45"/>
      <c r="K65" s="47"/>
    </row>
    <row r="66">
      <c r="B66" s="85" t="s">
        <v>199</v>
      </c>
      <c r="C66" s="28">
        <f>0.25*A49</f>
        <v>2</v>
      </c>
      <c r="D66" s="85" t="s">
        <v>44</v>
      </c>
      <c r="F66" s="45"/>
      <c r="K66" s="47"/>
    </row>
    <row r="67">
      <c r="B67" s="87" t="s">
        <v>203</v>
      </c>
      <c r="C67" s="46">
        <f>25*A49</f>
        <v>200</v>
      </c>
      <c r="D67" s="87" t="s">
        <v>46</v>
      </c>
      <c r="F67" s="45"/>
      <c r="K67" s="47"/>
    </row>
    <row r="68">
      <c r="C68" s="2"/>
      <c r="F68" s="45"/>
      <c r="K68" s="47"/>
    </row>
    <row r="69">
      <c r="B69" s="133" t="s">
        <v>206</v>
      </c>
      <c r="C69" s="2"/>
      <c r="F69" s="45"/>
      <c r="K69" s="47"/>
    </row>
    <row r="70">
      <c r="B70" s="115" t="s">
        <v>4</v>
      </c>
      <c r="C70" s="116" t="s">
        <v>5</v>
      </c>
      <c r="D70" s="117" t="s">
        <v>6</v>
      </c>
      <c r="F70" s="45"/>
      <c r="K70" s="47"/>
    </row>
    <row r="71">
      <c r="B71" s="103" t="s">
        <v>208</v>
      </c>
      <c r="C71" s="22">
        <f>0.5*A49</f>
        <v>4</v>
      </c>
      <c r="D71" s="103" t="s">
        <v>37</v>
      </c>
      <c r="F71" s="45"/>
      <c r="K71" s="47"/>
    </row>
    <row r="72">
      <c r="B72" s="85" t="s">
        <v>195</v>
      </c>
      <c r="C72" s="28">
        <f>0.25*A49</f>
        <v>2</v>
      </c>
      <c r="D72" s="85" t="s">
        <v>19</v>
      </c>
      <c r="F72" s="45"/>
      <c r="K72" s="47"/>
    </row>
    <row r="73">
      <c r="B73" s="85" t="s">
        <v>199</v>
      </c>
      <c r="C73" s="28">
        <f>0.25*A49</f>
        <v>2</v>
      </c>
      <c r="D73" s="85" t="s">
        <v>44</v>
      </c>
      <c r="F73" s="45"/>
      <c r="K73" s="47"/>
    </row>
    <row r="74">
      <c r="B74" s="85" t="s">
        <v>216</v>
      </c>
      <c r="C74" s="28">
        <f>0.25*A49</f>
        <v>2</v>
      </c>
      <c r="D74" s="85" t="s">
        <v>44</v>
      </c>
      <c r="F74" s="45"/>
      <c r="K74" s="47"/>
    </row>
    <row r="75">
      <c r="B75" s="85" t="s">
        <v>219</v>
      </c>
      <c r="C75" s="28">
        <f>0.5*A49</f>
        <v>4</v>
      </c>
      <c r="D75" s="85" t="s">
        <v>19</v>
      </c>
      <c r="F75" s="45"/>
      <c r="K75" s="47"/>
    </row>
    <row r="76">
      <c r="B76" s="87" t="s">
        <v>221</v>
      </c>
      <c r="C76" s="89"/>
      <c r="D76" s="91"/>
      <c r="F76" s="45"/>
      <c r="K76" s="47"/>
    </row>
    <row r="77">
      <c r="C77" s="2"/>
      <c r="F77" s="54"/>
      <c r="G77" s="55"/>
      <c r="H77" s="55"/>
      <c r="I77" s="55"/>
      <c r="J77" s="55"/>
      <c r="K77" s="56"/>
    </row>
    <row r="78">
      <c r="C78" s="2"/>
    </row>
    <row r="79">
      <c r="C79" s="2"/>
    </row>
    <row r="80">
      <c r="A80" s="4" t="s">
        <v>225</v>
      </c>
      <c r="B80" s="14" t="s">
        <v>225</v>
      </c>
      <c r="C80" s="2"/>
      <c r="F80" s="14" t="s">
        <v>227</v>
      </c>
      <c r="G80" s="10"/>
      <c r="H80" s="12"/>
      <c r="K80" s="59" t="s">
        <v>228</v>
      </c>
      <c r="L80" s="10"/>
      <c r="M80" s="12"/>
    </row>
    <row r="81">
      <c r="A81" s="7" t="s">
        <v>229</v>
      </c>
      <c r="B81" s="5" t="s">
        <v>4</v>
      </c>
      <c r="C81" s="6" t="s">
        <v>5</v>
      </c>
      <c r="D81" s="5" t="s">
        <v>6</v>
      </c>
      <c r="F81" s="5" t="s">
        <v>4</v>
      </c>
      <c r="G81" s="6" t="s">
        <v>5</v>
      </c>
      <c r="H81" s="5" t="s">
        <v>6</v>
      </c>
      <c r="K81" s="5" t="s">
        <v>4</v>
      </c>
      <c r="L81" s="6" t="s">
        <v>5</v>
      </c>
      <c r="M81" s="5" t="s">
        <v>6</v>
      </c>
    </row>
    <row r="82">
      <c r="A82" s="88">
        <v>1.0</v>
      </c>
      <c r="B82" s="9" t="s">
        <v>230</v>
      </c>
      <c r="C82" s="21">
        <f>1*A82</f>
        <v>1</v>
      </c>
      <c r="D82" s="29" t="s">
        <v>19</v>
      </c>
      <c r="F82" s="136" t="s">
        <v>233</v>
      </c>
      <c r="G82" s="137">
        <f>32*A82</f>
        <v>32</v>
      </c>
      <c r="H82" s="103" t="s">
        <v>236</v>
      </c>
      <c r="K82" s="136" t="s">
        <v>237</v>
      </c>
      <c r="L82" s="137">
        <f>60*A82</f>
        <v>60</v>
      </c>
      <c r="M82" s="103" t="s">
        <v>236</v>
      </c>
      <c r="P82" s="138"/>
      <c r="Q82" s="139"/>
    </row>
    <row r="83">
      <c r="A83" s="3"/>
      <c r="B83" s="31" t="s">
        <v>239</v>
      </c>
      <c r="C83" s="28">
        <f>25*A82</f>
        <v>25</v>
      </c>
      <c r="D83" s="31" t="s">
        <v>17</v>
      </c>
      <c r="F83" s="142" t="s">
        <v>241</v>
      </c>
      <c r="G83" s="144">
        <f>15*A82</f>
        <v>15</v>
      </c>
      <c r="H83" s="145" t="s">
        <v>236</v>
      </c>
      <c r="K83" s="142" t="s">
        <v>45</v>
      </c>
      <c r="L83" s="144">
        <f>60*A82</f>
        <v>60</v>
      </c>
      <c r="M83" s="145" t="s">
        <v>236</v>
      </c>
      <c r="P83" s="138"/>
      <c r="Q83" s="139"/>
    </row>
    <row r="84">
      <c r="A84" s="3"/>
      <c r="B84" s="31" t="s">
        <v>244</v>
      </c>
      <c r="C84" s="28">
        <f>25*A82</f>
        <v>25</v>
      </c>
      <c r="D84" s="31" t="s">
        <v>17</v>
      </c>
      <c r="F84" s="142" t="s">
        <v>246</v>
      </c>
      <c r="G84" s="144">
        <f>12*A82</f>
        <v>12</v>
      </c>
      <c r="H84" s="145" t="s">
        <v>236</v>
      </c>
      <c r="K84" s="142" t="s">
        <v>248</v>
      </c>
      <c r="L84" s="144">
        <f>24*A82</f>
        <v>24</v>
      </c>
      <c r="M84" s="145" t="s">
        <v>236</v>
      </c>
      <c r="P84" s="138"/>
      <c r="Q84" s="139"/>
    </row>
    <row r="85">
      <c r="A85" s="3"/>
      <c r="B85" s="31" t="s">
        <v>26</v>
      </c>
      <c r="C85" s="28">
        <f>0.25*A82</f>
        <v>0.25</v>
      </c>
      <c r="D85" s="31" t="s">
        <v>19</v>
      </c>
      <c r="F85" s="142" t="s">
        <v>68</v>
      </c>
      <c r="G85" s="144">
        <f>1.5*A82</f>
        <v>1.5</v>
      </c>
      <c r="H85" s="145" t="s">
        <v>236</v>
      </c>
      <c r="K85" s="142" t="s">
        <v>255</v>
      </c>
      <c r="L85" s="144">
        <f>30*A82</f>
        <v>30</v>
      </c>
      <c r="M85" s="145" t="s">
        <v>236</v>
      </c>
      <c r="P85" s="138"/>
      <c r="Q85" s="139"/>
    </row>
    <row r="86">
      <c r="A86" s="3"/>
      <c r="B86" s="31" t="s">
        <v>257</v>
      </c>
      <c r="C86" s="28">
        <f>0.25*A82</f>
        <v>0.25</v>
      </c>
      <c r="D86" s="31" t="s">
        <v>258</v>
      </c>
      <c r="F86" s="142" t="s">
        <v>260</v>
      </c>
      <c r="G86" s="144">
        <f>0.5*A82</f>
        <v>0.5</v>
      </c>
      <c r="H86" s="145" t="s">
        <v>236</v>
      </c>
      <c r="K86" s="142" t="s">
        <v>261</v>
      </c>
      <c r="L86" s="144">
        <f>5*A82</f>
        <v>5</v>
      </c>
      <c r="M86" s="145" t="s">
        <v>236</v>
      </c>
      <c r="P86" s="138"/>
      <c r="Q86" s="139"/>
    </row>
    <row r="87">
      <c r="A87" s="3"/>
      <c r="B87" s="31" t="s">
        <v>147</v>
      </c>
      <c r="C87" s="28">
        <f>0.25*A82</f>
        <v>0.25</v>
      </c>
      <c r="D87" s="31" t="s">
        <v>19</v>
      </c>
      <c r="E87" s="59" t="s">
        <v>264</v>
      </c>
      <c r="F87" s="151" t="s">
        <v>265</v>
      </c>
      <c r="G87" s="152">
        <f>50*A82</f>
        <v>50</v>
      </c>
      <c r="H87" s="154" t="s">
        <v>236</v>
      </c>
      <c r="K87" s="142" t="s">
        <v>267</v>
      </c>
      <c r="L87" s="144">
        <f>5*A82</f>
        <v>5</v>
      </c>
      <c r="M87" s="145" t="s">
        <v>236</v>
      </c>
      <c r="P87" s="138"/>
      <c r="Q87" s="139"/>
    </row>
    <row r="88">
      <c r="A88" s="3"/>
      <c r="B88" s="31" t="s">
        <v>269</v>
      </c>
      <c r="C88" s="28">
        <f>0.25*A82</f>
        <v>0.25</v>
      </c>
      <c r="D88" s="31" t="s">
        <v>258</v>
      </c>
      <c r="H88" s="138"/>
      <c r="K88" s="151" t="s">
        <v>271</v>
      </c>
      <c r="L88" s="152">
        <f>10*A82</f>
        <v>10</v>
      </c>
      <c r="M88" s="87" t="s">
        <v>236</v>
      </c>
      <c r="P88" s="138"/>
      <c r="Q88" s="139"/>
    </row>
    <row r="89">
      <c r="A89" s="3"/>
      <c r="B89" s="31" t="s">
        <v>274</v>
      </c>
      <c r="C89" s="28">
        <f>0.25*A82</f>
        <v>0.25</v>
      </c>
      <c r="D89" s="31" t="s">
        <v>258</v>
      </c>
      <c r="H89" s="138"/>
      <c r="K89" s="156"/>
      <c r="L89" s="156"/>
      <c r="M89" s="156"/>
    </row>
    <row r="90">
      <c r="A90" s="3"/>
      <c r="B90" s="31" t="s">
        <v>276</v>
      </c>
      <c r="C90" s="28">
        <f>0.25*A82</f>
        <v>0.25</v>
      </c>
      <c r="D90" s="61" t="s">
        <v>19</v>
      </c>
      <c r="H90" s="138"/>
      <c r="K90" s="156"/>
      <c r="L90" s="156"/>
      <c r="M90" s="156"/>
    </row>
    <row r="91">
      <c r="A91" s="3"/>
      <c r="B91" s="31" t="s">
        <v>279</v>
      </c>
      <c r="C91" s="28">
        <f>3*A82</f>
        <v>3</v>
      </c>
      <c r="D91" s="61" t="s">
        <v>19</v>
      </c>
    </row>
    <row r="92">
      <c r="B92" s="31" t="s">
        <v>130</v>
      </c>
      <c r="C92" s="28">
        <f>50*A82</f>
        <v>50</v>
      </c>
      <c r="D92" s="31" t="s">
        <v>17</v>
      </c>
      <c r="F92" s="158" t="s">
        <v>289</v>
      </c>
      <c r="G92" s="34"/>
      <c r="H92" s="34"/>
      <c r="I92" s="36"/>
      <c r="K92" s="163" t="s">
        <v>294</v>
      </c>
      <c r="L92" s="34"/>
      <c r="M92" s="36"/>
    </row>
    <row r="93">
      <c r="B93" s="42" t="s">
        <v>295</v>
      </c>
      <c r="C93" s="46">
        <f>50*A82</f>
        <v>50</v>
      </c>
      <c r="D93" s="42" t="s">
        <v>17</v>
      </c>
      <c r="F93" s="45"/>
      <c r="I93" s="47"/>
      <c r="K93" s="45"/>
      <c r="M93" s="47"/>
    </row>
    <row r="94">
      <c r="C94" s="2"/>
      <c r="F94" s="45"/>
      <c r="I94" s="47"/>
      <c r="K94" s="45"/>
      <c r="M94" s="47"/>
    </row>
    <row r="95">
      <c r="C95" s="2"/>
      <c r="F95" s="45"/>
      <c r="I95" s="47"/>
      <c r="K95" s="45"/>
      <c r="M95" s="47"/>
    </row>
    <row r="96">
      <c r="C96" s="2"/>
      <c r="F96" s="45"/>
      <c r="I96" s="47"/>
      <c r="K96" s="45"/>
      <c r="M96" s="47"/>
    </row>
    <row r="97">
      <c r="C97" s="2"/>
      <c r="F97" s="45"/>
      <c r="I97" s="47"/>
      <c r="K97" s="45"/>
      <c r="M97" s="47"/>
    </row>
    <row r="98">
      <c r="C98" s="2"/>
      <c r="F98" s="45"/>
      <c r="I98" s="47"/>
      <c r="K98" s="45"/>
      <c r="M98" s="47"/>
    </row>
    <row r="99">
      <c r="C99" s="2"/>
      <c r="F99" s="45"/>
      <c r="I99" s="47"/>
      <c r="K99" s="45"/>
      <c r="M99" s="47"/>
    </row>
    <row r="100">
      <c r="C100" s="2"/>
      <c r="F100" s="45"/>
      <c r="I100" s="47"/>
      <c r="K100" s="45"/>
      <c r="M100" s="47"/>
    </row>
    <row r="101">
      <c r="A101" s="138"/>
      <c r="C101" s="2"/>
      <c r="F101" s="45"/>
      <c r="I101" s="47"/>
      <c r="K101" s="54"/>
      <c r="L101" s="55"/>
      <c r="M101" s="56"/>
    </row>
    <row r="102">
      <c r="C102" s="2"/>
      <c r="F102" s="45"/>
      <c r="I102" s="47"/>
    </row>
    <row r="103">
      <c r="C103" s="2"/>
      <c r="F103" s="45"/>
      <c r="I103" s="47"/>
    </row>
    <row r="104">
      <c r="C104" s="2"/>
      <c r="F104" s="45"/>
      <c r="I104" s="47"/>
    </row>
    <row r="105">
      <c r="C105" s="2"/>
      <c r="F105" s="54"/>
      <c r="G105" s="55"/>
      <c r="H105" s="55"/>
      <c r="I105" s="56"/>
    </row>
    <row r="106">
      <c r="C106" s="2"/>
    </row>
    <row r="107">
      <c r="B107" s="14" t="s">
        <v>303</v>
      </c>
      <c r="C107" s="2"/>
    </row>
    <row r="108">
      <c r="A108" s="7" t="s">
        <v>305</v>
      </c>
      <c r="B108" s="5" t="s">
        <v>4</v>
      </c>
      <c r="C108" s="6" t="s">
        <v>5</v>
      </c>
      <c r="D108" s="5" t="s">
        <v>6</v>
      </c>
    </row>
    <row r="109">
      <c r="A109" s="88">
        <v>400.0</v>
      </c>
      <c r="B109" s="103" t="s">
        <v>30</v>
      </c>
      <c r="C109" s="126">
        <f>0.06*A109</f>
        <v>24</v>
      </c>
      <c r="D109" s="103" t="s">
        <v>17</v>
      </c>
      <c r="F109" s="76" t="s">
        <v>314</v>
      </c>
      <c r="G109" s="34"/>
      <c r="H109" s="34"/>
      <c r="I109" s="34"/>
      <c r="J109" s="36"/>
    </row>
    <row r="110">
      <c r="B110" s="85" t="s">
        <v>315</v>
      </c>
      <c r="C110" s="82">
        <f>0.04*A109</f>
        <v>16</v>
      </c>
      <c r="D110" s="85" t="s">
        <v>17</v>
      </c>
      <c r="F110" s="45"/>
      <c r="J110" s="47"/>
    </row>
    <row r="111">
      <c r="B111" s="85" t="s">
        <v>316</v>
      </c>
      <c r="C111" s="82">
        <f>0.04*A109</f>
        <v>16</v>
      </c>
      <c r="D111" s="85" t="s">
        <v>17</v>
      </c>
      <c r="F111" s="45"/>
      <c r="J111" s="47"/>
    </row>
    <row r="112">
      <c r="B112" s="85" t="s">
        <v>317</v>
      </c>
      <c r="C112" s="82">
        <f>0.03*A109</f>
        <v>12</v>
      </c>
      <c r="D112" s="85" t="s">
        <v>17</v>
      </c>
      <c r="F112" s="45"/>
      <c r="J112" s="47"/>
    </row>
    <row r="113">
      <c r="B113" s="85" t="s">
        <v>318</v>
      </c>
      <c r="C113" s="82">
        <f>0.04*A109</f>
        <v>16</v>
      </c>
      <c r="D113" s="85" t="s">
        <v>17</v>
      </c>
      <c r="F113" s="45"/>
      <c r="J113" s="47"/>
    </row>
    <row r="114">
      <c r="B114" s="85" t="s">
        <v>319</v>
      </c>
      <c r="C114" s="82">
        <f>0.01*A109</f>
        <v>4</v>
      </c>
      <c r="D114" s="85" t="s">
        <v>17</v>
      </c>
      <c r="F114" s="45"/>
      <c r="J114" s="47"/>
    </row>
    <row r="115">
      <c r="B115" s="85" t="s">
        <v>320</v>
      </c>
      <c r="C115" s="82">
        <f>0.003*A109</f>
        <v>1.2</v>
      </c>
      <c r="D115" s="85" t="s">
        <v>17</v>
      </c>
      <c r="F115" s="45"/>
      <c r="J115" s="47"/>
    </row>
    <row r="116">
      <c r="B116" s="85" t="s">
        <v>321</v>
      </c>
      <c r="C116" s="82">
        <f>0.01*A109</f>
        <v>4</v>
      </c>
      <c r="D116" s="85" t="s">
        <v>17</v>
      </c>
      <c r="F116" s="45"/>
      <c r="J116" s="47"/>
    </row>
    <row r="117">
      <c r="B117" s="87" t="s">
        <v>322</v>
      </c>
      <c r="C117" s="46" t="s">
        <v>323</v>
      </c>
      <c r="D117" s="91"/>
      <c r="F117" s="45"/>
      <c r="J117" s="47"/>
    </row>
    <row r="118">
      <c r="C118" s="2"/>
      <c r="F118" s="45"/>
      <c r="J118" s="47"/>
    </row>
    <row r="119">
      <c r="C119" s="2"/>
      <c r="F119" s="45"/>
      <c r="J119" s="47"/>
    </row>
    <row r="120">
      <c r="C120" s="2"/>
      <c r="F120" s="45"/>
      <c r="J120" s="47"/>
    </row>
    <row r="121">
      <c r="C121" s="2"/>
      <c r="F121" s="54"/>
      <c r="G121" s="55"/>
      <c r="H121" s="55"/>
      <c r="I121" s="55"/>
      <c r="J121" s="56"/>
    </row>
    <row r="122">
      <c r="C122" s="2"/>
    </row>
    <row r="123">
      <c r="A123" s="125" t="s">
        <v>324</v>
      </c>
      <c r="C123" s="2"/>
    </row>
    <row r="124">
      <c r="A124" s="4" t="s">
        <v>325</v>
      </c>
      <c r="B124" s="5" t="s">
        <v>4</v>
      </c>
      <c r="C124" s="6" t="s">
        <v>5</v>
      </c>
      <c r="D124" s="5" t="s">
        <v>6</v>
      </c>
    </row>
    <row r="125">
      <c r="A125" s="16" t="s">
        <v>13</v>
      </c>
      <c r="B125" s="103" t="s">
        <v>326</v>
      </c>
      <c r="C125" s="126">
        <f>100*A126</f>
        <v>400</v>
      </c>
      <c r="D125" s="103" t="s">
        <v>17</v>
      </c>
      <c r="F125" s="169" t="s">
        <v>327</v>
      </c>
    </row>
    <row r="126">
      <c r="A126" s="78">
        <v>4.0</v>
      </c>
      <c r="B126" s="85" t="s">
        <v>328</v>
      </c>
      <c r="C126" s="82">
        <f>0.5*A126</f>
        <v>2</v>
      </c>
      <c r="D126" s="85" t="s">
        <v>19</v>
      </c>
      <c r="F126" s="169" t="s">
        <v>329</v>
      </c>
    </row>
    <row r="127">
      <c r="B127" s="85" t="s">
        <v>330</v>
      </c>
      <c r="C127" s="82">
        <f>37.5*A126</f>
        <v>150</v>
      </c>
      <c r="D127" s="85" t="s">
        <v>17</v>
      </c>
      <c r="F127" s="169" t="s">
        <v>331</v>
      </c>
    </row>
    <row r="128">
      <c r="B128" s="85" t="s">
        <v>26</v>
      </c>
      <c r="C128" s="82">
        <f>0.5*A126</f>
        <v>2</v>
      </c>
      <c r="D128" s="85" t="s">
        <v>19</v>
      </c>
      <c r="F128" s="57" t="s">
        <v>332</v>
      </c>
    </row>
    <row r="129">
      <c r="B129" s="85" t="s">
        <v>333</v>
      </c>
      <c r="C129" s="82">
        <f>25*A126</f>
        <v>100</v>
      </c>
      <c r="D129" s="85" t="s">
        <v>17</v>
      </c>
    </row>
    <row r="130">
      <c r="B130" s="85" t="s">
        <v>334</v>
      </c>
      <c r="C130" s="82">
        <f>0.5*A126</f>
        <v>2</v>
      </c>
      <c r="D130" s="85" t="s">
        <v>19</v>
      </c>
    </row>
    <row r="131">
      <c r="B131" s="85" t="s">
        <v>335</v>
      </c>
      <c r="C131" s="82">
        <f>0.25*A126</f>
        <v>1</v>
      </c>
      <c r="D131" s="85" t="s">
        <v>19</v>
      </c>
    </row>
    <row r="132">
      <c r="B132" s="85" t="s">
        <v>191</v>
      </c>
      <c r="C132" s="82">
        <f>0.5*A126</f>
        <v>2</v>
      </c>
      <c r="D132" s="85" t="s">
        <v>19</v>
      </c>
    </row>
    <row r="133">
      <c r="B133" s="85" t="s">
        <v>336</v>
      </c>
      <c r="C133" s="28">
        <f>0.75*A126</f>
        <v>3</v>
      </c>
      <c r="D133" s="85" t="s">
        <v>19</v>
      </c>
    </row>
    <row r="134">
      <c r="B134" s="85" t="s">
        <v>337</v>
      </c>
      <c r="C134" s="82">
        <f>1.25*A126</f>
        <v>5</v>
      </c>
      <c r="D134" s="85" t="s">
        <v>17</v>
      </c>
    </row>
    <row r="135">
      <c r="B135" s="85" t="s">
        <v>175</v>
      </c>
      <c r="C135" s="82"/>
      <c r="D135" s="148"/>
    </row>
    <row r="136">
      <c r="B136" s="85" t="s">
        <v>68</v>
      </c>
      <c r="C136" s="82"/>
      <c r="D136" s="148"/>
    </row>
    <row r="137">
      <c r="B137" s="85" t="s">
        <v>338</v>
      </c>
      <c r="C137" s="28">
        <f>0.25*A126</f>
        <v>1</v>
      </c>
      <c r="D137" s="85" t="s">
        <v>37</v>
      </c>
    </row>
    <row r="138">
      <c r="B138" s="170" t="s">
        <v>339</v>
      </c>
      <c r="C138" s="46">
        <f>0.25*A126</f>
        <v>1</v>
      </c>
      <c r="D138" s="87" t="s">
        <v>37</v>
      </c>
    </row>
    <row r="139">
      <c r="C139" s="2"/>
    </row>
    <row r="140">
      <c r="C140" s="2"/>
    </row>
    <row r="141">
      <c r="A141" s="125" t="s">
        <v>340</v>
      </c>
      <c r="C141" s="2"/>
    </row>
    <row r="142">
      <c r="B142" s="14" t="s">
        <v>341</v>
      </c>
      <c r="C142" s="2"/>
    </row>
    <row r="143">
      <c r="A143" s="4" t="s">
        <v>342</v>
      </c>
      <c r="B143" s="5" t="s">
        <v>4</v>
      </c>
      <c r="C143" s="6" t="s">
        <v>5</v>
      </c>
      <c r="D143" s="5" t="s">
        <v>6</v>
      </c>
      <c r="L143" s="2"/>
    </row>
    <row r="144">
      <c r="A144" s="16" t="s">
        <v>13</v>
      </c>
      <c r="B144" s="103" t="s">
        <v>343</v>
      </c>
      <c r="C144" s="126">
        <f>125*A145</f>
        <v>500</v>
      </c>
      <c r="D144" s="103" t="s">
        <v>17</v>
      </c>
      <c r="F144" s="62" t="s">
        <v>344</v>
      </c>
      <c r="G144" s="34"/>
      <c r="H144" s="34"/>
      <c r="I144" s="36"/>
    </row>
    <row r="145">
      <c r="A145" s="78">
        <v>4.0</v>
      </c>
      <c r="B145" s="85" t="s">
        <v>75</v>
      </c>
      <c r="C145" s="82">
        <f>3*A145</f>
        <v>12</v>
      </c>
      <c r="D145" s="85" t="s">
        <v>345</v>
      </c>
      <c r="F145" s="45"/>
      <c r="I145" s="47"/>
    </row>
    <row r="146">
      <c r="B146" s="85" t="s">
        <v>248</v>
      </c>
      <c r="C146" s="82">
        <f>2*A145</f>
        <v>8</v>
      </c>
      <c r="D146" s="85" t="s">
        <v>37</v>
      </c>
      <c r="F146" s="45"/>
      <c r="I146" s="47"/>
    </row>
    <row r="147">
      <c r="B147" s="85" t="s">
        <v>339</v>
      </c>
      <c r="C147" s="82">
        <f>3*A145</f>
        <v>12</v>
      </c>
      <c r="D147" s="85" t="s">
        <v>37</v>
      </c>
      <c r="F147" s="45"/>
      <c r="I147" s="47"/>
    </row>
    <row r="148">
      <c r="B148" s="85" t="s">
        <v>346</v>
      </c>
      <c r="C148" s="82">
        <f>2*A145</f>
        <v>8</v>
      </c>
      <c r="D148" s="85" t="s">
        <v>37</v>
      </c>
      <c r="F148" s="45"/>
      <c r="I148" s="47"/>
    </row>
    <row r="149">
      <c r="B149" s="85" t="s">
        <v>68</v>
      </c>
      <c r="C149" s="82"/>
      <c r="D149" s="85"/>
      <c r="F149" s="45"/>
      <c r="I149" s="47"/>
    </row>
    <row r="150">
      <c r="B150" s="87" t="s">
        <v>175</v>
      </c>
      <c r="C150" s="89"/>
      <c r="D150" s="87"/>
      <c r="F150" s="45"/>
      <c r="I150" s="47"/>
    </row>
    <row r="151">
      <c r="B151" s="59"/>
      <c r="C151" s="2"/>
      <c r="D151" s="59"/>
      <c r="F151" s="45"/>
      <c r="I151" s="47"/>
    </row>
    <row r="152">
      <c r="F152" s="45"/>
      <c r="I152" s="47"/>
    </row>
    <row r="153">
      <c r="F153" s="45"/>
      <c r="I153" s="47"/>
    </row>
    <row r="154">
      <c r="F154" s="45"/>
      <c r="I154" s="47"/>
    </row>
    <row r="155">
      <c r="B155" s="14" t="s">
        <v>347</v>
      </c>
      <c r="F155" s="45"/>
      <c r="I155" s="47"/>
    </row>
    <row r="156">
      <c r="B156" s="171" t="s">
        <v>348</v>
      </c>
      <c r="C156" s="172"/>
      <c r="D156" s="172"/>
      <c r="F156" s="45"/>
      <c r="I156" s="47"/>
    </row>
    <row r="157">
      <c r="F157" s="45"/>
      <c r="I157" s="47"/>
    </row>
    <row r="158">
      <c r="F158" s="54"/>
      <c r="G158" s="55"/>
      <c r="H158" s="55"/>
      <c r="I158" s="56"/>
    </row>
    <row r="159">
      <c r="B159" s="14" t="s">
        <v>349</v>
      </c>
      <c r="C159" s="12"/>
      <c r="D159" s="59"/>
      <c r="F159" s="59"/>
      <c r="G159" s="59"/>
      <c r="H159" s="59"/>
      <c r="I159" s="59"/>
    </row>
    <row r="160">
      <c r="A160" s="4" t="s">
        <v>350</v>
      </c>
      <c r="B160" s="5" t="s">
        <v>4</v>
      </c>
      <c r="C160" s="6" t="s">
        <v>5</v>
      </c>
      <c r="D160" s="5" t="s">
        <v>6</v>
      </c>
      <c r="F160" s="59"/>
      <c r="G160" s="59"/>
      <c r="H160" s="59"/>
      <c r="I160" s="59"/>
    </row>
    <row r="161">
      <c r="B161" s="103" t="s">
        <v>60</v>
      </c>
      <c r="C161" s="126">
        <f>0.25*A145</f>
        <v>1</v>
      </c>
      <c r="D161" s="103" t="s">
        <v>351</v>
      </c>
      <c r="F161" s="62" t="s">
        <v>352</v>
      </c>
      <c r="G161" s="34"/>
      <c r="H161" s="34"/>
      <c r="I161" s="34"/>
      <c r="J161" s="34"/>
      <c r="K161" s="34"/>
      <c r="L161" s="36"/>
    </row>
    <row r="162">
      <c r="B162" s="85" t="s">
        <v>26</v>
      </c>
      <c r="C162" s="82">
        <f>0.5*A145</f>
        <v>2</v>
      </c>
      <c r="D162" s="85" t="s">
        <v>351</v>
      </c>
      <c r="F162" s="45"/>
      <c r="L162" s="47"/>
    </row>
    <row r="163">
      <c r="B163" s="85" t="s">
        <v>353</v>
      </c>
      <c r="C163" s="82">
        <f>0.5*A145</f>
        <v>2</v>
      </c>
      <c r="D163" s="85" t="s">
        <v>351</v>
      </c>
      <c r="F163" s="45"/>
      <c r="L163" s="47"/>
    </row>
    <row r="164">
      <c r="B164" s="85" t="s">
        <v>354</v>
      </c>
      <c r="C164" s="82">
        <f>50*A145</f>
        <v>200</v>
      </c>
      <c r="D164" s="85" t="s">
        <v>17</v>
      </c>
      <c r="F164" s="45"/>
      <c r="L164" s="47"/>
    </row>
    <row r="165">
      <c r="B165" s="85" t="s">
        <v>339</v>
      </c>
      <c r="C165" s="82">
        <f>0.5*A145</f>
        <v>2</v>
      </c>
      <c r="D165" s="85" t="s">
        <v>37</v>
      </c>
      <c r="F165" s="45"/>
      <c r="L165" s="47"/>
    </row>
    <row r="166">
      <c r="B166" s="85" t="s">
        <v>355</v>
      </c>
      <c r="C166" s="82"/>
      <c r="D166" s="85"/>
      <c r="F166" s="45"/>
      <c r="L166" s="47"/>
    </row>
    <row r="167">
      <c r="B167" s="85" t="s">
        <v>68</v>
      </c>
      <c r="C167" s="82"/>
      <c r="D167" s="85"/>
      <c r="F167" s="45"/>
      <c r="L167" s="47"/>
    </row>
    <row r="168">
      <c r="B168" s="85" t="s">
        <v>175</v>
      </c>
      <c r="C168" s="148"/>
      <c r="D168" s="148"/>
      <c r="F168" s="45"/>
      <c r="L168" s="47"/>
    </row>
    <row r="169">
      <c r="B169" s="85" t="s">
        <v>356</v>
      </c>
      <c r="C169" s="148"/>
      <c r="D169" s="148"/>
      <c r="F169" s="45"/>
      <c r="L169" s="47"/>
    </row>
    <row r="170">
      <c r="B170" s="87" t="s">
        <v>357</v>
      </c>
      <c r="C170" s="91"/>
      <c r="D170" s="91"/>
      <c r="F170" s="45"/>
      <c r="L170" s="47"/>
    </row>
    <row r="171">
      <c r="C171" s="2"/>
      <c r="F171" s="54"/>
      <c r="G171" s="55"/>
      <c r="H171" s="55"/>
      <c r="I171" s="55"/>
      <c r="J171" s="55"/>
      <c r="K171" s="55"/>
      <c r="L171" s="56"/>
    </row>
    <row r="172">
      <c r="C172" s="2"/>
    </row>
    <row r="173">
      <c r="C173" s="2"/>
    </row>
    <row r="174">
      <c r="A174" s="125" t="s">
        <v>358</v>
      </c>
      <c r="B174" s="14"/>
      <c r="C174" s="2"/>
    </row>
    <row r="175">
      <c r="A175" s="4" t="s">
        <v>359</v>
      </c>
      <c r="B175" s="5" t="s">
        <v>4</v>
      </c>
      <c r="C175" s="6" t="s">
        <v>5</v>
      </c>
      <c r="D175" s="5" t="s">
        <v>6</v>
      </c>
      <c r="F175" s="76" t="s">
        <v>360</v>
      </c>
      <c r="G175" s="34"/>
      <c r="H175" s="34"/>
      <c r="I175" s="34"/>
      <c r="J175" s="34"/>
      <c r="K175" s="34"/>
      <c r="L175" s="36"/>
    </row>
    <row r="176">
      <c r="A176" s="16" t="s">
        <v>13</v>
      </c>
      <c r="B176" s="103" t="s">
        <v>361</v>
      </c>
      <c r="C176" s="126">
        <f>150*A177</f>
        <v>150</v>
      </c>
      <c r="D176" s="103" t="s">
        <v>17</v>
      </c>
      <c r="F176" s="45"/>
      <c r="L176" s="47"/>
    </row>
    <row r="177">
      <c r="A177" s="78">
        <v>1.0</v>
      </c>
      <c r="B177" s="85" t="s">
        <v>362</v>
      </c>
      <c r="C177" s="82">
        <f>1.5*A177</f>
        <v>1.5</v>
      </c>
      <c r="D177" s="85" t="s">
        <v>17</v>
      </c>
      <c r="F177" s="45"/>
      <c r="L177" s="47"/>
    </row>
    <row r="178">
      <c r="B178" s="85" t="s">
        <v>256</v>
      </c>
      <c r="C178" s="82">
        <f>4*A177</f>
        <v>4</v>
      </c>
      <c r="D178" s="85" t="s">
        <v>17</v>
      </c>
      <c r="F178" s="45"/>
      <c r="L178" s="47"/>
    </row>
    <row r="179">
      <c r="B179" s="85" t="s">
        <v>363</v>
      </c>
      <c r="C179" s="82">
        <f>11*A177</f>
        <v>11</v>
      </c>
      <c r="D179" s="85" t="s">
        <v>17</v>
      </c>
      <c r="F179" s="45"/>
      <c r="L179" s="47"/>
    </row>
    <row r="180">
      <c r="B180" s="85" t="s">
        <v>364</v>
      </c>
      <c r="C180" s="82">
        <f>1*A177</f>
        <v>1</v>
      </c>
      <c r="D180" s="85" t="s">
        <v>17</v>
      </c>
      <c r="F180" s="45"/>
      <c r="L180" s="47"/>
    </row>
    <row r="181">
      <c r="B181" s="85" t="s">
        <v>365</v>
      </c>
      <c r="C181" s="82">
        <f>10*A177</f>
        <v>10</v>
      </c>
      <c r="D181" s="85" t="s">
        <v>17</v>
      </c>
      <c r="F181" s="45"/>
      <c r="L181" s="47"/>
    </row>
    <row r="182">
      <c r="B182" s="85" t="s">
        <v>366</v>
      </c>
      <c r="C182" s="82">
        <f>4*A177</f>
        <v>4</v>
      </c>
      <c r="D182" s="85" t="s">
        <v>17</v>
      </c>
      <c r="F182" s="45"/>
      <c r="L182" s="47"/>
    </row>
    <row r="183">
      <c r="B183" s="173" t="s">
        <v>367</v>
      </c>
      <c r="C183" s="82">
        <f>1*A177</f>
        <v>1</v>
      </c>
      <c r="D183" s="174" t="s">
        <v>17</v>
      </c>
      <c r="F183" s="45"/>
      <c r="L183" s="47"/>
    </row>
    <row r="184">
      <c r="B184" s="173" t="s">
        <v>368</v>
      </c>
      <c r="C184" s="82">
        <f>1*A177</f>
        <v>1</v>
      </c>
      <c r="D184" s="174" t="s">
        <v>17</v>
      </c>
      <c r="F184" s="45"/>
      <c r="L184" s="47"/>
    </row>
    <row r="185">
      <c r="B185" s="173" t="s">
        <v>369</v>
      </c>
      <c r="C185" s="82">
        <f>1*A177</f>
        <v>1</v>
      </c>
      <c r="D185" s="174" t="s">
        <v>17</v>
      </c>
      <c r="F185" s="45"/>
      <c r="L185" s="47"/>
    </row>
    <row r="186">
      <c r="B186" s="173" t="s">
        <v>68</v>
      </c>
      <c r="C186" s="82"/>
      <c r="D186" s="174" t="s">
        <v>17</v>
      </c>
      <c r="F186" s="45"/>
      <c r="L186" s="47"/>
    </row>
    <row r="187">
      <c r="B187" s="175" t="s">
        <v>175</v>
      </c>
      <c r="C187" s="89"/>
      <c r="D187" s="176" t="s">
        <v>17</v>
      </c>
      <c r="F187" s="45"/>
      <c r="L187" s="47"/>
    </row>
    <row r="188">
      <c r="C188" s="2"/>
      <c r="F188" s="45"/>
      <c r="L188" s="47"/>
    </row>
    <row r="189">
      <c r="C189" s="2"/>
      <c r="F189" s="45"/>
      <c r="L189" s="47"/>
    </row>
    <row r="190">
      <c r="C190" s="2"/>
      <c r="F190" s="45"/>
      <c r="L190" s="47"/>
    </row>
    <row r="191">
      <c r="C191" s="2"/>
      <c r="F191" s="45"/>
      <c r="L191" s="47"/>
    </row>
    <row r="192">
      <c r="C192" s="2"/>
      <c r="F192" s="45"/>
      <c r="L192" s="47"/>
    </row>
    <row r="193">
      <c r="C193" s="2"/>
      <c r="F193" s="45"/>
      <c r="L193" s="47"/>
    </row>
    <row r="194">
      <c r="C194" s="2"/>
      <c r="F194" s="54"/>
      <c r="G194" s="55"/>
      <c r="H194" s="55"/>
      <c r="I194" s="55"/>
      <c r="J194" s="55"/>
      <c r="K194" s="55"/>
      <c r="L194" s="56"/>
    </row>
    <row r="195">
      <c r="C195" s="2"/>
    </row>
    <row r="196">
      <c r="C196" s="2"/>
    </row>
    <row r="197">
      <c r="C197" s="2"/>
    </row>
    <row r="198">
      <c r="C198" s="2"/>
    </row>
    <row r="199">
      <c r="A199" s="57" t="s">
        <v>370</v>
      </c>
      <c r="B199" s="14"/>
      <c r="C199" s="2"/>
    </row>
    <row r="200">
      <c r="A200" s="4" t="s">
        <v>371</v>
      </c>
      <c r="B200" s="5" t="s">
        <v>4</v>
      </c>
      <c r="C200" s="6" t="s">
        <v>5</v>
      </c>
      <c r="D200" s="5" t="s">
        <v>6</v>
      </c>
    </row>
    <row r="201">
      <c r="A201" s="16" t="s">
        <v>13</v>
      </c>
      <c r="B201" s="103" t="s">
        <v>248</v>
      </c>
      <c r="C201" s="126">
        <f>30*A202</f>
        <v>120</v>
      </c>
      <c r="D201" s="103" t="s">
        <v>236</v>
      </c>
      <c r="F201" s="62" t="s">
        <v>372</v>
      </c>
      <c r="G201" s="34"/>
      <c r="H201" s="34"/>
      <c r="I201" s="36"/>
    </row>
    <row r="202">
      <c r="A202" s="78">
        <v>4.0</v>
      </c>
      <c r="B202" s="85" t="s">
        <v>30</v>
      </c>
      <c r="C202" s="82">
        <f>30*A202</f>
        <v>120</v>
      </c>
      <c r="D202" s="85" t="s">
        <v>46</v>
      </c>
      <c r="F202" s="45"/>
      <c r="I202" s="47"/>
    </row>
    <row r="203">
      <c r="B203" s="85" t="s">
        <v>39</v>
      </c>
      <c r="C203" s="82">
        <f>15*A202</f>
        <v>60</v>
      </c>
      <c r="D203" s="85" t="s">
        <v>17</v>
      </c>
      <c r="F203" s="45"/>
      <c r="I203" s="47"/>
    </row>
    <row r="204">
      <c r="B204" s="85" t="s">
        <v>373</v>
      </c>
      <c r="C204" s="82">
        <f>1*A202</f>
        <v>4</v>
      </c>
      <c r="D204" s="85" t="s">
        <v>374</v>
      </c>
      <c r="F204" s="45"/>
      <c r="I204" s="47"/>
    </row>
    <row r="205">
      <c r="B205" s="85" t="s">
        <v>75</v>
      </c>
      <c r="C205" s="148"/>
      <c r="D205" s="148"/>
      <c r="F205" s="45"/>
      <c r="I205" s="47"/>
    </row>
    <row r="206">
      <c r="B206" s="85" t="s">
        <v>375</v>
      </c>
      <c r="C206" s="82"/>
      <c r="D206" s="85"/>
      <c r="F206" s="45"/>
      <c r="I206" s="47"/>
    </row>
    <row r="207">
      <c r="B207" s="85" t="s">
        <v>376</v>
      </c>
      <c r="C207" s="82"/>
      <c r="D207" s="85"/>
      <c r="F207" s="45"/>
      <c r="I207" s="47"/>
    </row>
    <row r="208">
      <c r="B208" s="87" t="s">
        <v>377</v>
      </c>
      <c r="C208" s="89"/>
      <c r="D208" s="87"/>
      <c r="F208" s="45"/>
      <c r="I208" s="47"/>
    </row>
    <row r="209">
      <c r="C209" s="2"/>
      <c r="D209" s="59"/>
      <c r="F209" s="54"/>
      <c r="G209" s="55"/>
      <c r="H209" s="55"/>
      <c r="I209" s="56"/>
    </row>
    <row r="210">
      <c r="B210" s="59"/>
      <c r="C210" s="2"/>
      <c r="D210" s="59"/>
    </row>
    <row r="211">
      <c r="B211" s="59"/>
      <c r="C211" s="2"/>
      <c r="D211" s="59"/>
    </row>
    <row r="212">
      <c r="C212" s="2"/>
    </row>
    <row r="213">
      <c r="A213" s="125" t="s">
        <v>378</v>
      </c>
      <c r="C213" s="2"/>
    </row>
    <row r="214">
      <c r="A214" s="4" t="s">
        <v>379</v>
      </c>
      <c r="B214" s="5" t="s">
        <v>4</v>
      </c>
      <c r="C214" s="6" t="s">
        <v>5</v>
      </c>
      <c r="D214" s="5" t="s">
        <v>6</v>
      </c>
    </row>
    <row r="215">
      <c r="A215" s="16" t="s">
        <v>13</v>
      </c>
      <c r="B215" s="103" t="s">
        <v>380</v>
      </c>
      <c r="C215" s="126">
        <f>2*A216</f>
        <v>2</v>
      </c>
      <c r="D215" s="103" t="s">
        <v>381</v>
      </c>
      <c r="F215" s="76" t="s">
        <v>382</v>
      </c>
      <c r="G215" s="34"/>
      <c r="H215" s="34"/>
      <c r="I215" s="36"/>
    </row>
    <row r="216">
      <c r="A216" s="78">
        <v>1.0</v>
      </c>
      <c r="B216" s="85" t="s">
        <v>68</v>
      </c>
      <c r="C216" s="82">
        <f>1*A216</f>
        <v>1</v>
      </c>
      <c r="D216" s="85" t="s">
        <v>236</v>
      </c>
      <c r="F216" s="45"/>
      <c r="I216" s="47"/>
    </row>
    <row r="217">
      <c r="B217" s="85" t="s">
        <v>339</v>
      </c>
      <c r="C217" s="82">
        <f>2*A216</f>
        <v>2</v>
      </c>
      <c r="D217" s="85" t="s">
        <v>383</v>
      </c>
      <c r="F217" s="45"/>
      <c r="I217" s="47"/>
    </row>
    <row r="218">
      <c r="B218" s="85"/>
      <c r="C218" s="82"/>
      <c r="D218" s="85"/>
      <c r="F218" s="45"/>
      <c r="I218" s="47"/>
    </row>
    <row r="219">
      <c r="B219" s="87" t="s">
        <v>384</v>
      </c>
      <c r="C219" s="91"/>
      <c r="D219" s="91"/>
      <c r="F219" s="54"/>
      <c r="G219" s="55"/>
      <c r="H219" s="55"/>
      <c r="I219" s="56"/>
    </row>
    <row r="220">
      <c r="B220" s="59"/>
      <c r="C220" s="2"/>
      <c r="D220" s="59"/>
    </row>
    <row r="221">
      <c r="B221" s="59"/>
      <c r="C221" s="2"/>
      <c r="D221" s="59"/>
    </row>
    <row r="222">
      <c r="C222" s="2"/>
    </row>
    <row r="223">
      <c r="B223" s="5"/>
      <c r="C223" s="6"/>
      <c r="D223" s="5"/>
    </row>
    <row r="224">
      <c r="A224" s="125" t="s">
        <v>385</v>
      </c>
      <c r="B224" s="59"/>
      <c r="C224" s="2"/>
      <c r="D224" s="59"/>
    </row>
    <row r="225">
      <c r="A225" s="4" t="s">
        <v>386</v>
      </c>
      <c r="B225" s="5" t="s">
        <v>4</v>
      </c>
      <c r="C225" s="6" t="s">
        <v>5</v>
      </c>
      <c r="D225" s="5" t="s">
        <v>6</v>
      </c>
    </row>
    <row r="226">
      <c r="A226" s="16" t="s">
        <v>13</v>
      </c>
      <c r="B226" s="103" t="s">
        <v>167</v>
      </c>
      <c r="C226" s="126">
        <f>0.5*A227</f>
        <v>0.5</v>
      </c>
      <c r="D226" s="103" t="s">
        <v>381</v>
      </c>
      <c r="F226" s="62" t="s">
        <v>387</v>
      </c>
      <c r="G226" s="34"/>
      <c r="H226" s="34"/>
      <c r="I226" s="34"/>
      <c r="J226" s="36"/>
    </row>
    <row r="227">
      <c r="A227" s="78">
        <v>1.0</v>
      </c>
      <c r="B227" s="85" t="s">
        <v>388</v>
      </c>
      <c r="C227" s="82">
        <f>1*A227</f>
        <v>1</v>
      </c>
      <c r="D227" s="85" t="s">
        <v>383</v>
      </c>
      <c r="F227" s="45"/>
      <c r="J227" s="47"/>
    </row>
    <row r="228">
      <c r="B228" s="87" t="s">
        <v>389</v>
      </c>
      <c r="C228" s="89">
        <f>2*A227</f>
        <v>2</v>
      </c>
      <c r="D228" s="87" t="s">
        <v>390</v>
      </c>
      <c r="F228" s="45"/>
      <c r="J228" s="47"/>
    </row>
    <row r="229">
      <c r="B229" s="59"/>
      <c r="C229" s="2"/>
      <c r="D229" s="59"/>
      <c r="F229" s="45"/>
      <c r="J229" s="47"/>
    </row>
    <row r="230">
      <c r="B230" s="59"/>
      <c r="F230" s="45"/>
      <c r="J230" s="47"/>
    </row>
    <row r="231">
      <c r="C231" s="2"/>
      <c r="F231" s="45"/>
      <c r="J231" s="47"/>
    </row>
    <row r="232">
      <c r="A232" s="125" t="s">
        <v>385</v>
      </c>
      <c r="B232" s="59"/>
      <c r="C232" s="2"/>
      <c r="D232" s="59"/>
      <c r="F232" s="45"/>
      <c r="J232" s="47"/>
    </row>
    <row r="233">
      <c r="A233" s="4" t="s">
        <v>391</v>
      </c>
      <c r="B233" s="5" t="s">
        <v>4</v>
      </c>
      <c r="C233" s="6" t="s">
        <v>5</v>
      </c>
      <c r="D233" s="5" t="s">
        <v>6</v>
      </c>
      <c r="F233" s="45"/>
      <c r="J233" s="47"/>
    </row>
    <row r="234">
      <c r="A234" s="16" t="s">
        <v>13</v>
      </c>
      <c r="B234" s="103" t="s">
        <v>319</v>
      </c>
      <c r="C234" s="126">
        <f>1*A235</f>
        <v>1</v>
      </c>
      <c r="D234" s="103" t="s">
        <v>383</v>
      </c>
      <c r="F234" s="45"/>
      <c r="J234" s="47"/>
    </row>
    <row r="235">
      <c r="A235" s="78">
        <v>1.0</v>
      </c>
      <c r="B235" s="85" t="s">
        <v>392</v>
      </c>
      <c r="C235" s="82">
        <f>2*A235</f>
        <v>2</v>
      </c>
      <c r="D235" s="85" t="s">
        <v>383</v>
      </c>
      <c r="F235" s="45"/>
      <c r="J235" s="47"/>
    </row>
    <row r="236">
      <c r="B236" s="85" t="s">
        <v>393</v>
      </c>
      <c r="C236" s="82">
        <f>1*A235</f>
        <v>1</v>
      </c>
      <c r="D236" s="85" t="s">
        <v>383</v>
      </c>
      <c r="F236" s="45"/>
      <c r="J236" s="47"/>
    </row>
    <row r="237">
      <c r="B237" s="85" t="s">
        <v>394</v>
      </c>
      <c r="C237" s="82">
        <f>1*A235</f>
        <v>1</v>
      </c>
      <c r="D237" s="85" t="s">
        <v>383</v>
      </c>
      <c r="F237" s="45"/>
      <c r="J237" s="47"/>
    </row>
    <row r="238">
      <c r="B238" s="87" t="s">
        <v>395</v>
      </c>
      <c r="C238" s="91"/>
      <c r="D238" s="91"/>
      <c r="F238" s="45"/>
      <c r="J238" s="47"/>
    </row>
    <row r="239">
      <c r="C239" s="2"/>
      <c r="F239" s="45"/>
      <c r="J239" s="47"/>
    </row>
    <row r="240">
      <c r="C240" s="2"/>
      <c r="F240" s="54"/>
      <c r="G240" s="55"/>
      <c r="H240" s="55"/>
      <c r="I240" s="55"/>
      <c r="J240" s="56"/>
    </row>
    <row r="241">
      <c r="C241" s="2"/>
    </row>
    <row r="242">
      <c r="C242" s="2"/>
    </row>
    <row r="243">
      <c r="C243" s="2"/>
    </row>
    <row r="244">
      <c r="A244" s="57" t="s">
        <v>396</v>
      </c>
      <c r="B244" s="59"/>
      <c r="C244" s="2"/>
      <c r="D244" s="59"/>
    </row>
    <row r="245">
      <c r="A245" s="4" t="s">
        <v>397</v>
      </c>
      <c r="B245" s="14" t="s">
        <v>398</v>
      </c>
    </row>
    <row r="246">
      <c r="A246" s="16" t="s">
        <v>13</v>
      </c>
      <c r="B246" s="5" t="s">
        <v>4</v>
      </c>
      <c r="C246" s="6" t="s">
        <v>5</v>
      </c>
      <c r="D246" s="5" t="s">
        <v>6</v>
      </c>
    </row>
    <row r="247">
      <c r="A247" s="78">
        <v>3.0</v>
      </c>
      <c r="B247" s="103" t="s">
        <v>399</v>
      </c>
      <c r="C247" s="126">
        <f>125*A247</f>
        <v>375</v>
      </c>
      <c r="D247" s="103" t="s">
        <v>236</v>
      </c>
      <c r="F247" s="76" t="s">
        <v>401</v>
      </c>
      <c r="G247" s="34"/>
      <c r="H247" s="34"/>
      <c r="I247" s="36"/>
    </row>
    <row r="248">
      <c r="B248" s="85" t="s">
        <v>363</v>
      </c>
      <c r="C248" s="82">
        <f>11*A247</f>
        <v>33</v>
      </c>
      <c r="D248" s="85" t="s">
        <v>236</v>
      </c>
      <c r="F248" s="45"/>
      <c r="I248" s="47"/>
    </row>
    <row r="249">
      <c r="B249" s="85" t="s">
        <v>411</v>
      </c>
      <c r="C249" s="82">
        <f>7*A247</f>
        <v>21</v>
      </c>
      <c r="D249" s="85" t="s">
        <v>236</v>
      </c>
      <c r="F249" s="45"/>
      <c r="I249" s="47"/>
    </row>
    <row r="250">
      <c r="B250" s="85" t="s">
        <v>412</v>
      </c>
      <c r="C250" s="82">
        <f>1*A247</f>
        <v>3</v>
      </c>
      <c r="D250" s="85" t="s">
        <v>236</v>
      </c>
      <c r="F250" s="45"/>
      <c r="I250" s="47"/>
    </row>
    <row r="251">
      <c r="B251" s="85" t="s">
        <v>415</v>
      </c>
      <c r="C251" s="82">
        <f>5*A247</f>
        <v>15</v>
      </c>
      <c r="D251" s="85" t="s">
        <v>236</v>
      </c>
      <c r="F251" s="45"/>
      <c r="I251" s="47"/>
    </row>
    <row r="252">
      <c r="B252" s="85" t="s">
        <v>422</v>
      </c>
      <c r="C252" s="82">
        <f>10*A247</f>
        <v>30</v>
      </c>
      <c r="D252" s="85" t="s">
        <v>236</v>
      </c>
      <c r="F252" s="45"/>
      <c r="I252" s="47"/>
    </row>
    <row r="253">
      <c r="B253" s="87" t="s">
        <v>395</v>
      </c>
      <c r="C253" s="89"/>
      <c r="D253" s="91"/>
      <c r="F253" s="45"/>
      <c r="I253" s="47"/>
    </row>
    <row r="254">
      <c r="C254" s="2"/>
      <c r="F254" s="45"/>
      <c r="I254" s="47"/>
    </row>
    <row r="255">
      <c r="C255" s="2"/>
      <c r="F255" s="54"/>
      <c r="G255" s="55"/>
      <c r="H255" s="55"/>
      <c r="I255" s="56"/>
    </row>
    <row r="256">
      <c r="C256" s="2"/>
    </row>
    <row r="257">
      <c r="B257" s="14" t="s">
        <v>151</v>
      </c>
      <c r="C257" s="2"/>
    </row>
    <row r="258">
      <c r="B258" s="5" t="s">
        <v>4</v>
      </c>
      <c r="C258" s="6" t="s">
        <v>5</v>
      </c>
      <c r="D258" s="5" t="s">
        <v>6</v>
      </c>
    </row>
    <row r="259">
      <c r="B259" s="103" t="s">
        <v>363</v>
      </c>
      <c r="C259" s="126">
        <f>12*A247</f>
        <v>36</v>
      </c>
      <c r="D259" s="103" t="s">
        <v>236</v>
      </c>
    </row>
    <row r="260">
      <c r="B260" s="85" t="s">
        <v>425</v>
      </c>
      <c r="C260" s="82">
        <f>2.5*A247</f>
        <v>7.5</v>
      </c>
      <c r="D260" s="85" t="s">
        <v>236</v>
      </c>
    </row>
    <row r="261">
      <c r="B261" s="85" t="s">
        <v>426</v>
      </c>
      <c r="C261" s="82">
        <f>15*A247</f>
        <v>45</v>
      </c>
      <c r="D261" s="85" t="s">
        <v>236</v>
      </c>
    </row>
    <row r="262">
      <c r="B262" s="85" t="s">
        <v>248</v>
      </c>
      <c r="C262" s="82">
        <f>2.5*A247</f>
        <v>7.5</v>
      </c>
      <c r="D262" s="85" t="s">
        <v>236</v>
      </c>
    </row>
    <row r="263">
      <c r="B263" s="85" t="s">
        <v>395</v>
      </c>
      <c r="C263" s="82"/>
      <c r="D263" s="85"/>
    </row>
    <row r="264">
      <c r="B264" s="85" t="s">
        <v>45</v>
      </c>
      <c r="C264" s="82">
        <f>30*A247</f>
        <v>90</v>
      </c>
      <c r="D264" s="85" t="s">
        <v>236</v>
      </c>
    </row>
    <row r="265">
      <c r="B265" s="85" t="s">
        <v>427</v>
      </c>
      <c r="C265" s="82">
        <f>5*A247</f>
        <v>15</v>
      </c>
      <c r="D265" s="148"/>
    </row>
    <row r="266">
      <c r="B266" s="87" t="s">
        <v>415</v>
      </c>
      <c r="C266" s="89">
        <f>5*A247</f>
        <v>15</v>
      </c>
      <c r="D266" s="91"/>
    </row>
    <row r="267">
      <c r="C267" s="2"/>
    </row>
    <row r="268">
      <c r="C268" s="2"/>
    </row>
    <row r="269">
      <c r="B269" s="14" t="s">
        <v>428</v>
      </c>
      <c r="C269" s="2"/>
    </row>
    <row r="270">
      <c r="B270" s="5" t="s">
        <v>4</v>
      </c>
      <c r="C270" s="6" t="s">
        <v>5</v>
      </c>
      <c r="D270" s="5" t="s">
        <v>6</v>
      </c>
    </row>
    <row r="271">
      <c r="B271" s="103" t="s">
        <v>75</v>
      </c>
      <c r="C271" s="126">
        <f>1*A247</f>
        <v>3</v>
      </c>
      <c r="D271" s="103" t="s">
        <v>97</v>
      </c>
    </row>
    <row r="272">
      <c r="B272" s="85" t="s">
        <v>429</v>
      </c>
      <c r="C272" s="82">
        <f>5*A247</f>
        <v>15</v>
      </c>
      <c r="D272" s="85" t="s">
        <v>236</v>
      </c>
    </row>
    <row r="273">
      <c r="B273" s="85" t="s">
        <v>430</v>
      </c>
      <c r="C273" s="82">
        <f>20*A247</f>
        <v>60</v>
      </c>
      <c r="D273" s="85" t="s">
        <v>236</v>
      </c>
    </row>
    <row r="274">
      <c r="B274" s="87" t="s">
        <v>431</v>
      </c>
      <c r="C274" s="89">
        <f>20*A247</f>
        <v>60</v>
      </c>
      <c r="D274" s="87" t="s">
        <v>236</v>
      </c>
    </row>
    <row r="275">
      <c r="B275" s="59"/>
      <c r="C275" s="2"/>
      <c r="D275" s="59"/>
    </row>
    <row r="276">
      <c r="B276" s="59"/>
      <c r="C276" s="2"/>
      <c r="D276" s="59"/>
    </row>
    <row r="277">
      <c r="B277" s="59"/>
    </row>
    <row r="278">
      <c r="B278" s="59"/>
    </row>
    <row r="279">
      <c r="C279" s="2"/>
    </row>
    <row r="280">
      <c r="C280" s="2"/>
    </row>
    <row r="281">
      <c r="C281" s="2"/>
    </row>
    <row r="282">
      <c r="C282" s="2"/>
    </row>
    <row r="283">
      <c r="C283" s="2"/>
    </row>
    <row r="284">
      <c r="C284" s="2"/>
    </row>
    <row r="285">
      <c r="C285" s="2"/>
    </row>
    <row r="286">
      <c r="C286" s="2"/>
    </row>
    <row r="287">
      <c r="C287" s="2"/>
    </row>
    <row r="288">
      <c r="C288" s="2"/>
    </row>
    <row r="289">
      <c r="C289" s="2"/>
    </row>
    <row r="290">
      <c r="C290" s="2"/>
    </row>
    <row r="291">
      <c r="C291" s="2"/>
    </row>
    <row r="292">
      <c r="C292" s="2"/>
    </row>
    <row r="293">
      <c r="C293" s="2"/>
    </row>
    <row r="294">
      <c r="C294" s="2"/>
    </row>
    <row r="295">
      <c r="C295" s="2"/>
    </row>
    <row r="296">
      <c r="C296" s="2"/>
    </row>
    <row r="297">
      <c r="C297" s="2"/>
    </row>
    <row r="298">
      <c r="C298" s="2"/>
    </row>
    <row r="299">
      <c r="C299" s="2"/>
    </row>
    <row r="300">
      <c r="C300" s="2"/>
    </row>
    <row r="301">
      <c r="A301" s="59" t="s">
        <v>432</v>
      </c>
      <c r="C301" s="2"/>
    </row>
    <row r="302">
      <c r="A302" s="125" t="s">
        <v>433</v>
      </c>
      <c r="C302" s="2"/>
    </row>
    <row r="303">
      <c r="A303" s="125" t="s">
        <v>434</v>
      </c>
      <c r="C303" s="2"/>
    </row>
    <row r="304">
      <c r="A304" s="125" t="s">
        <v>435</v>
      </c>
      <c r="C304" s="2"/>
    </row>
    <row r="305">
      <c r="A305" s="59" t="s">
        <v>438</v>
      </c>
      <c r="C305" s="2"/>
    </row>
    <row r="306">
      <c r="C306" s="2"/>
    </row>
    <row r="307">
      <c r="C307" s="2"/>
    </row>
    <row r="308">
      <c r="C308" s="2"/>
    </row>
    <row r="309">
      <c r="C309" s="2"/>
    </row>
    <row r="310">
      <c r="C310" s="2"/>
    </row>
    <row r="311">
      <c r="C311" s="2"/>
    </row>
    <row r="312">
      <c r="C312" s="2"/>
    </row>
    <row r="313">
      <c r="C313" s="2"/>
    </row>
    <row r="314">
      <c r="C314" s="2"/>
    </row>
    <row r="315">
      <c r="C315" s="2"/>
    </row>
    <row r="316">
      <c r="C316" s="2"/>
    </row>
    <row r="317">
      <c r="C317" s="2"/>
    </row>
    <row r="318">
      <c r="C318" s="2"/>
    </row>
    <row r="319">
      <c r="C319" s="2"/>
    </row>
    <row r="320">
      <c r="C320" s="2"/>
    </row>
    <row r="321">
      <c r="C321" s="2"/>
    </row>
    <row r="322">
      <c r="C322" s="2"/>
    </row>
    <row r="323">
      <c r="C323" s="2"/>
    </row>
    <row r="324">
      <c r="C324" s="2"/>
    </row>
    <row r="325">
      <c r="C325" s="2"/>
    </row>
    <row r="326">
      <c r="C326" s="2"/>
    </row>
    <row r="327">
      <c r="C327" s="2"/>
    </row>
    <row r="328">
      <c r="C328" s="2"/>
    </row>
    <row r="329">
      <c r="C329" s="2"/>
    </row>
    <row r="330">
      <c r="C330" s="2"/>
    </row>
    <row r="331">
      <c r="C331" s="2"/>
    </row>
    <row r="332">
      <c r="C332" s="2"/>
    </row>
    <row r="333">
      <c r="C333" s="2"/>
    </row>
    <row r="334">
      <c r="C334" s="2"/>
    </row>
    <row r="335">
      <c r="C335" s="2"/>
    </row>
    <row r="336">
      <c r="C336" s="2"/>
    </row>
    <row r="337">
      <c r="C337" s="2"/>
    </row>
    <row r="338">
      <c r="C338" s="2"/>
    </row>
    <row r="339">
      <c r="C339" s="2"/>
    </row>
    <row r="340">
      <c r="C340" s="2"/>
    </row>
    <row r="341">
      <c r="C341" s="2"/>
    </row>
    <row r="342">
      <c r="C342" s="2"/>
    </row>
    <row r="343">
      <c r="C343" s="2"/>
    </row>
    <row r="344">
      <c r="C344" s="2"/>
    </row>
    <row r="345">
      <c r="C345" s="2"/>
    </row>
    <row r="346">
      <c r="C346" s="2"/>
    </row>
    <row r="347">
      <c r="C347" s="2"/>
    </row>
    <row r="348">
      <c r="C348" s="2"/>
    </row>
    <row r="349">
      <c r="C349" s="2"/>
    </row>
    <row r="350">
      <c r="C350" s="2"/>
    </row>
    <row r="351">
      <c r="C351" s="2"/>
    </row>
    <row r="352">
      <c r="C352" s="2"/>
    </row>
    <row r="353">
      <c r="C353" s="2"/>
    </row>
    <row r="354">
      <c r="C354" s="2"/>
    </row>
    <row r="355">
      <c r="C355" s="2"/>
    </row>
    <row r="356">
      <c r="C356" s="2"/>
    </row>
    <row r="357">
      <c r="C357" s="2"/>
    </row>
    <row r="358">
      <c r="C358" s="2"/>
    </row>
    <row r="359">
      <c r="C359" s="2"/>
    </row>
    <row r="360">
      <c r="C360" s="2"/>
    </row>
    <row r="361">
      <c r="C361" s="2"/>
    </row>
    <row r="362">
      <c r="C362" s="2"/>
    </row>
    <row r="363">
      <c r="C363" s="2"/>
    </row>
    <row r="364">
      <c r="C364" s="2"/>
    </row>
    <row r="365">
      <c r="C365" s="2"/>
    </row>
    <row r="366">
      <c r="C366" s="2"/>
    </row>
    <row r="367">
      <c r="C367" s="2"/>
    </row>
    <row r="368">
      <c r="C368" s="2"/>
    </row>
    <row r="369">
      <c r="C369" s="2"/>
    </row>
    <row r="370">
      <c r="C370" s="2"/>
    </row>
    <row r="371">
      <c r="C371" s="2"/>
    </row>
    <row r="372">
      <c r="C372" s="2"/>
    </row>
    <row r="373">
      <c r="C373" s="2"/>
    </row>
    <row r="374">
      <c r="C374" s="2"/>
    </row>
    <row r="375">
      <c r="C375" s="2"/>
    </row>
    <row r="376">
      <c r="C376" s="2"/>
    </row>
    <row r="377">
      <c r="C377" s="2"/>
    </row>
    <row r="378">
      <c r="C378" s="2"/>
    </row>
    <row r="379">
      <c r="C379" s="2"/>
    </row>
    <row r="380">
      <c r="C380" s="2"/>
    </row>
    <row r="381">
      <c r="C381" s="2"/>
    </row>
    <row r="382">
      <c r="C382" s="2"/>
    </row>
    <row r="383">
      <c r="C383" s="2"/>
    </row>
    <row r="384">
      <c r="C384" s="2"/>
    </row>
    <row r="385">
      <c r="C385" s="2"/>
    </row>
    <row r="386">
      <c r="C386" s="2"/>
    </row>
    <row r="387">
      <c r="C387" s="2"/>
    </row>
    <row r="388">
      <c r="C388" s="2"/>
    </row>
    <row r="389">
      <c r="C389" s="2"/>
    </row>
    <row r="390">
      <c r="C390" s="2"/>
    </row>
    <row r="391">
      <c r="C391" s="2"/>
    </row>
    <row r="392">
      <c r="C392" s="2"/>
    </row>
    <row r="393">
      <c r="C393" s="2"/>
    </row>
    <row r="394">
      <c r="C394" s="2"/>
    </row>
    <row r="395">
      <c r="C395" s="2"/>
    </row>
    <row r="396">
      <c r="C396" s="2"/>
    </row>
    <row r="397">
      <c r="C397" s="2"/>
    </row>
    <row r="398">
      <c r="C398" s="2"/>
    </row>
    <row r="399">
      <c r="C399" s="2"/>
    </row>
    <row r="400">
      <c r="C400" s="2"/>
    </row>
    <row r="401">
      <c r="C401" s="2"/>
    </row>
    <row r="402">
      <c r="C402" s="2"/>
    </row>
    <row r="403">
      <c r="C403" s="2"/>
    </row>
    <row r="404">
      <c r="C404" s="2"/>
    </row>
    <row r="405">
      <c r="C405" s="2"/>
    </row>
    <row r="406">
      <c r="C406" s="2"/>
    </row>
    <row r="407">
      <c r="C407" s="2"/>
    </row>
    <row r="408">
      <c r="C408" s="2"/>
    </row>
    <row r="409">
      <c r="C409" s="2"/>
    </row>
    <row r="410">
      <c r="C410" s="2"/>
    </row>
    <row r="411">
      <c r="C411" s="2"/>
    </row>
    <row r="412">
      <c r="C412" s="2"/>
    </row>
    <row r="413">
      <c r="C413" s="2"/>
    </row>
    <row r="414">
      <c r="C414" s="2"/>
    </row>
    <row r="415">
      <c r="C415" s="2"/>
    </row>
    <row r="416">
      <c r="C416" s="2"/>
    </row>
    <row r="417">
      <c r="C417" s="2"/>
    </row>
    <row r="418">
      <c r="C418" s="2"/>
    </row>
    <row r="419">
      <c r="C419" s="2"/>
    </row>
    <row r="420">
      <c r="C420" s="2"/>
    </row>
    <row r="421">
      <c r="C421" s="2"/>
    </row>
    <row r="422">
      <c r="C422" s="2"/>
    </row>
    <row r="423">
      <c r="C423" s="2"/>
    </row>
    <row r="424">
      <c r="C424" s="2"/>
    </row>
    <row r="425">
      <c r="C425" s="2"/>
    </row>
    <row r="426">
      <c r="C426" s="2"/>
    </row>
    <row r="427">
      <c r="C427" s="2"/>
    </row>
    <row r="428">
      <c r="C428" s="2"/>
    </row>
    <row r="429">
      <c r="C429" s="2"/>
    </row>
    <row r="430">
      <c r="C430" s="2"/>
    </row>
    <row r="431">
      <c r="C431" s="2"/>
    </row>
    <row r="432">
      <c r="C432" s="2"/>
    </row>
    <row r="433">
      <c r="C433" s="2"/>
    </row>
    <row r="434">
      <c r="C434" s="2"/>
    </row>
    <row r="435">
      <c r="C435" s="2"/>
    </row>
    <row r="436">
      <c r="C436" s="2"/>
    </row>
    <row r="437">
      <c r="C437" s="2"/>
    </row>
    <row r="438">
      <c r="C438" s="2"/>
    </row>
    <row r="439">
      <c r="C439" s="2"/>
    </row>
    <row r="440">
      <c r="C440" s="2"/>
    </row>
    <row r="441">
      <c r="C441" s="2"/>
    </row>
    <row r="442">
      <c r="C442" s="2"/>
    </row>
    <row r="443">
      <c r="C443" s="2"/>
    </row>
    <row r="444">
      <c r="C444" s="2"/>
    </row>
    <row r="445">
      <c r="C445" s="2"/>
    </row>
    <row r="446">
      <c r="C446" s="2"/>
    </row>
    <row r="447">
      <c r="C447" s="2"/>
    </row>
    <row r="448">
      <c r="C448" s="2"/>
    </row>
    <row r="449">
      <c r="C449" s="2"/>
    </row>
    <row r="450">
      <c r="C450" s="2"/>
    </row>
    <row r="451">
      <c r="C451" s="2"/>
    </row>
    <row r="452">
      <c r="C452" s="2"/>
    </row>
    <row r="453">
      <c r="C453" s="2"/>
    </row>
    <row r="454">
      <c r="C454" s="2"/>
    </row>
    <row r="455">
      <c r="C455" s="2"/>
    </row>
    <row r="456">
      <c r="C456" s="2"/>
    </row>
    <row r="457">
      <c r="C457" s="2"/>
    </row>
    <row r="458">
      <c r="C458" s="2"/>
    </row>
    <row r="459">
      <c r="C459" s="2"/>
    </row>
    <row r="460">
      <c r="C460" s="2"/>
    </row>
    <row r="461">
      <c r="C461" s="2"/>
    </row>
    <row r="462">
      <c r="C462" s="2"/>
    </row>
    <row r="463">
      <c r="C463" s="2"/>
    </row>
    <row r="464">
      <c r="C464" s="2"/>
    </row>
    <row r="465">
      <c r="C465" s="2"/>
    </row>
    <row r="466">
      <c r="C466" s="2"/>
    </row>
    <row r="467">
      <c r="C467" s="2"/>
    </row>
    <row r="468">
      <c r="C468" s="2"/>
    </row>
    <row r="469">
      <c r="C469" s="2"/>
    </row>
    <row r="470">
      <c r="C470" s="2"/>
    </row>
    <row r="471">
      <c r="C471" s="2"/>
    </row>
    <row r="472">
      <c r="C472" s="2"/>
    </row>
    <row r="473">
      <c r="C473" s="2"/>
    </row>
    <row r="474">
      <c r="C474" s="2"/>
    </row>
    <row r="475">
      <c r="C475" s="2"/>
    </row>
    <row r="476">
      <c r="C476" s="2"/>
    </row>
    <row r="477">
      <c r="C477" s="2"/>
    </row>
    <row r="478">
      <c r="C478" s="2"/>
    </row>
    <row r="479">
      <c r="C479" s="2"/>
    </row>
    <row r="480">
      <c r="C480" s="2"/>
    </row>
    <row r="481">
      <c r="C481" s="2"/>
    </row>
    <row r="482">
      <c r="C482" s="2"/>
    </row>
    <row r="483">
      <c r="C483" s="2"/>
    </row>
    <row r="484">
      <c r="C484" s="2"/>
    </row>
    <row r="485">
      <c r="C485" s="2"/>
    </row>
    <row r="486">
      <c r="C486" s="2"/>
    </row>
    <row r="487">
      <c r="C487" s="2"/>
    </row>
    <row r="488">
      <c r="C488" s="2"/>
    </row>
    <row r="489">
      <c r="C489" s="2"/>
    </row>
    <row r="490">
      <c r="C490" s="2"/>
    </row>
    <row r="491">
      <c r="C491" s="2"/>
    </row>
    <row r="492">
      <c r="C492" s="2"/>
    </row>
    <row r="493">
      <c r="C493" s="2"/>
    </row>
    <row r="494">
      <c r="C494" s="2"/>
    </row>
    <row r="495">
      <c r="C495" s="2"/>
    </row>
    <row r="496">
      <c r="C496" s="2"/>
    </row>
    <row r="497">
      <c r="C497" s="2"/>
    </row>
    <row r="498">
      <c r="C498" s="2"/>
    </row>
    <row r="499">
      <c r="C499" s="2"/>
    </row>
    <row r="500">
      <c r="C500" s="2"/>
    </row>
    <row r="501">
      <c r="C501" s="2"/>
    </row>
    <row r="502">
      <c r="C502" s="2"/>
    </row>
    <row r="503">
      <c r="C503" s="2"/>
    </row>
    <row r="504">
      <c r="C504" s="2"/>
    </row>
    <row r="505">
      <c r="C505" s="2"/>
    </row>
    <row r="506">
      <c r="C506" s="2"/>
    </row>
    <row r="507">
      <c r="C507" s="2"/>
    </row>
    <row r="508">
      <c r="C508" s="2"/>
    </row>
    <row r="509">
      <c r="C509" s="2"/>
    </row>
    <row r="510">
      <c r="C510" s="2"/>
    </row>
    <row r="511">
      <c r="C511" s="2"/>
    </row>
    <row r="512">
      <c r="C512" s="2"/>
    </row>
    <row r="513">
      <c r="C513" s="2"/>
    </row>
    <row r="514">
      <c r="C514" s="2"/>
    </row>
    <row r="515">
      <c r="C515" s="2"/>
    </row>
    <row r="516">
      <c r="C516" s="2"/>
    </row>
    <row r="517">
      <c r="C517" s="2"/>
    </row>
    <row r="518">
      <c r="C518" s="2"/>
    </row>
    <row r="519">
      <c r="C519" s="2"/>
    </row>
    <row r="520">
      <c r="C520" s="2"/>
    </row>
    <row r="521">
      <c r="C521" s="2"/>
    </row>
    <row r="522">
      <c r="C522" s="2"/>
    </row>
    <row r="523">
      <c r="C523" s="2"/>
    </row>
    <row r="524">
      <c r="C524" s="2"/>
    </row>
    <row r="525">
      <c r="C525" s="2"/>
    </row>
    <row r="526">
      <c r="C526" s="2"/>
    </row>
    <row r="527">
      <c r="C527" s="2"/>
    </row>
    <row r="528">
      <c r="C528" s="2"/>
    </row>
    <row r="529">
      <c r="C529" s="2"/>
    </row>
    <row r="530">
      <c r="C530" s="2"/>
    </row>
    <row r="531">
      <c r="C531" s="2"/>
    </row>
    <row r="532">
      <c r="C532" s="2"/>
    </row>
    <row r="533">
      <c r="C533" s="2"/>
    </row>
    <row r="534">
      <c r="C534" s="2"/>
    </row>
    <row r="535">
      <c r="C535" s="2"/>
    </row>
    <row r="536">
      <c r="C536" s="2"/>
    </row>
    <row r="537">
      <c r="C537" s="2"/>
    </row>
    <row r="538">
      <c r="C538" s="2"/>
    </row>
    <row r="539">
      <c r="C539" s="2"/>
    </row>
    <row r="540">
      <c r="C540" s="2"/>
    </row>
    <row r="541">
      <c r="C541" s="2"/>
    </row>
    <row r="542">
      <c r="C542" s="2"/>
    </row>
    <row r="543">
      <c r="C543" s="2"/>
    </row>
    <row r="544">
      <c r="C544" s="2"/>
    </row>
    <row r="545">
      <c r="C545" s="2"/>
    </row>
    <row r="546">
      <c r="C546" s="2"/>
    </row>
    <row r="547">
      <c r="C547" s="2"/>
    </row>
    <row r="548">
      <c r="C548" s="2"/>
    </row>
    <row r="549">
      <c r="C549" s="2"/>
    </row>
    <row r="550">
      <c r="C550" s="2"/>
    </row>
    <row r="551">
      <c r="C551" s="2"/>
    </row>
    <row r="552">
      <c r="C552" s="2"/>
    </row>
    <row r="553">
      <c r="C553" s="2"/>
    </row>
    <row r="554">
      <c r="C554" s="2"/>
    </row>
    <row r="555">
      <c r="C555" s="2"/>
    </row>
    <row r="556">
      <c r="C556" s="2"/>
    </row>
    <row r="557">
      <c r="C557" s="2"/>
    </row>
    <row r="558">
      <c r="C558" s="2"/>
    </row>
    <row r="559">
      <c r="C559" s="2"/>
    </row>
    <row r="560">
      <c r="C560" s="2"/>
    </row>
    <row r="561">
      <c r="C561" s="2"/>
    </row>
    <row r="562">
      <c r="C562" s="2"/>
    </row>
    <row r="563">
      <c r="C563" s="2"/>
    </row>
    <row r="564">
      <c r="C564" s="2"/>
    </row>
    <row r="565">
      <c r="C565" s="2"/>
    </row>
    <row r="566">
      <c r="C566" s="2"/>
    </row>
    <row r="567">
      <c r="C567" s="2"/>
    </row>
    <row r="568">
      <c r="C568" s="2"/>
    </row>
    <row r="569">
      <c r="C569" s="2"/>
    </row>
    <row r="570">
      <c r="C570" s="2"/>
    </row>
    <row r="571">
      <c r="C571" s="2"/>
    </row>
    <row r="572">
      <c r="C572" s="2"/>
    </row>
    <row r="573">
      <c r="C573" s="2"/>
    </row>
    <row r="574">
      <c r="C574" s="2"/>
    </row>
    <row r="575">
      <c r="C575" s="2"/>
    </row>
    <row r="576">
      <c r="C576" s="2"/>
    </row>
    <row r="577">
      <c r="C577" s="2"/>
    </row>
    <row r="578">
      <c r="C578" s="2"/>
    </row>
    <row r="579">
      <c r="C579" s="2"/>
    </row>
    <row r="580">
      <c r="C580" s="2"/>
    </row>
    <row r="581">
      <c r="C581" s="2"/>
    </row>
    <row r="582">
      <c r="C582" s="2"/>
    </row>
    <row r="583">
      <c r="C583" s="2"/>
    </row>
    <row r="584">
      <c r="C584" s="2"/>
    </row>
    <row r="585">
      <c r="C585" s="2"/>
    </row>
    <row r="586">
      <c r="C586" s="2"/>
    </row>
    <row r="587">
      <c r="C587" s="2"/>
    </row>
    <row r="588">
      <c r="C588" s="2"/>
    </row>
    <row r="589">
      <c r="C589" s="2"/>
    </row>
    <row r="590">
      <c r="C590" s="2"/>
    </row>
    <row r="591">
      <c r="C591" s="2"/>
    </row>
    <row r="592">
      <c r="C592" s="2"/>
    </row>
    <row r="593">
      <c r="C593" s="2"/>
    </row>
    <row r="594">
      <c r="C594" s="2"/>
    </row>
    <row r="595">
      <c r="C595" s="2"/>
    </row>
    <row r="596">
      <c r="C596" s="2"/>
    </row>
    <row r="597">
      <c r="C597" s="2"/>
    </row>
    <row r="598">
      <c r="C598" s="2"/>
    </row>
    <row r="599">
      <c r="C599" s="2"/>
    </row>
    <row r="600">
      <c r="C600" s="2"/>
    </row>
    <row r="601">
      <c r="C601" s="2"/>
    </row>
    <row r="602">
      <c r="C602" s="2"/>
    </row>
    <row r="603">
      <c r="C603" s="2"/>
    </row>
    <row r="604">
      <c r="C604" s="2"/>
    </row>
    <row r="605">
      <c r="C605" s="2"/>
    </row>
    <row r="606">
      <c r="C606" s="2"/>
    </row>
    <row r="607">
      <c r="C607" s="2"/>
    </row>
    <row r="608">
      <c r="C608" s="2"/>
    </row>
    <row r="609">
      <c r="C609" s="2"/>
    </row>
    <row r="610">
      <c r="C610" s="2"/>
    </row>
    <row r="611">
      <c r="C611" s="2"/>
    </row>
    <row r="612">
      <c r="C612" s="2"/>
    </row>
    <row r="613">
      <c r="C613" s="2"/>
    </row>
    <row r="614">
      <c r="C614" s="2"/>
    </row>
    <row r="615">
      <c r="C615" s="2"/>
    </row>
    <row r="616">
      <c r="C616" s="2"/>
    </row>
    <row r="617">
      <c r="C617" s="2"/>
    </row>
    <row r="618">
      <c r="C618" s="2"/>
    </row>
    <row r="619">
      <c r="C619" s="2"/>
    </row>
    <row r="620">
      <c r="C620" s="2"/>
    </row>
    <row r="621">
      <c r="C621" s="2"/>
    </row>
    <row r="622">
      <c r="C622" s="2"/>
    </row>
    <row r="623">
      <c r="C623" s="2"/>
    </row>
    <row r="624">
      <c r="C624" s="2"/>
    </row>
    <row r="625">
      <c r="C625" s="2"/>
    </row>
    <row r="626">
      <c r="C626" s="2"/>
    </row>
    <row r="627">
      <c r="C627" s="2"/>
    </row>
    <row r="628">
      <c r="C628" s="2"/>
    </row>
    <row r="629">
      <c r="C629" s="2"/>
    </row>
    <row r="630">
      <c r="C630" s="2"/>
    </row>
    <row r="631">
      <c r="C631" s="2"/>
    </row>
    <row r="632">
      <c r="C632" s="2"/>
    </row>
    <row r="633">
      <c r="C633" s="2"/>
    </row>
    <row r="634">
      <c r="C634" s="2"/>
    </row>
    <row r="635">
      <c r="C635" s="2"/>
    </row>
    <row r="636">
      <c r="C636" s="2"/>
    </row>
    <row r="637">
      <c r="C637" s="2"/>
    </row>
    <row r="638">
      <c r="C638" s="2"/>
    </row>
    <row r="639">
      <c r="C639" s="2"/>
    </row>
    <row r="640">
      <c r="C640" s="2"/>
    </row>
    <row r="641">
      <c r="C641" s="2"/>
    </row>
    <row r="642">
      <c r="C642" s="2"/>
    </row>
    <row r="643">
      <c r="C643" s="2"/>
    </row>
    <row r="644">
      <c r="C644" s="2"/>
    </row>
    <row r="645">
      <c r="C645" s="2"/>
    </row>
    <row r="646">
      <c r="C646" s="2"/>
    </row>
    <row r="647">
      <c r="C647" s="2"/>
    </row>
    <row r="648">
      <c r="C648" s="2"/>
    </row>
    <row r="649">
      <c r="C649" s="2"/>
    </row>
    <row r="650">
      <c r="C650" s="2"/>
    </row>
    <row r="651">
      <c r="C651" s="2"/>
    </row>
    <row r="652">
      <c r="C652" s="2"/>
    </row>
    <row r="653">
      <c r="C653" s="2"/>
    </row>
    <row r="654">
      <c r="C654" s="2"/>
    </row>
    <row r="655">
      <c r="C655" s="2"/>
    </row>
    <row r="656">
      <c r="C656" s="2"/>
    </row>
    <row r="657">
      <c r="C657" s="2"/>
    </row>
    <row r="658">
      <c r="C658" s="2"/>
    </row>
    <row r="659">
      <c r="C659" s="2"/>
    </row>
    <row r="660">
      <c r="C660" s="2"/>
    </row>
    <row r="661">
      <c r="C661" s="2"/>
    </row>
    <row r="662">
      <c r="C662" s="2"/>
    </row>
    <row r="663">
      <c r="C663" s="2"/>
    </row>
    <row r="664">
      <c r="C664" s="2"/>
    </row>
    <row r="665">
      <c r="C665" s="2"/>
    </row>
    <row r="666">
      <c r="C666" s="2"/>
    </row>
    <row r="667">
      <c r="C667" s="2"/>
    </row>
    <row r="668">
      <c r="C668" s="2"/>
    </row>
    <row r="669">
      <c r="C669" s="2"/>
    </row>
    <row r="670">
      <c r="C670" s="2"/>
    </row>
    <row r="671">
      <c r="C671" s="2"/>
    </row>
    <row r="672">
      <c r="C672" s="2"/>
    </row>
    <row r="673">
      <c r="C673" s="2"/>
    </row>
    <row r="674">
      <c r="C674" s="2"/>
    </row>
    <row r="675">
      <c r="C675" s="2"/>
    </row>
    <row r="676">
      <c r="C676" s="2"/>
    </row>
    <row r="677">
      <c r="C677" s="2"/>
    </row>
    <row r="678">
      <c r="C678" s="2"/>
    </row>
    <row r="679">
      <c r="C679" s="2"/>
    </row>
    <row r="680">
      <c r="C680" s="2"/>
    </row>
    <row r="681">
      <c r="C681" s="2"/>
    </row>
    <row r="682">
      <c r="C682" s="2"/>
    </row>
    <row r="683">
      <c r="C683" s="2"/>
    </row>
    <row r="684">
      <c r="C684" s="2"/>
    </row>
    <row r="685">
      <c r="C685" s="2"/>
    </row>
    <row r="686">
      <c r="C686" s="2"/>
    </row>
    <row r="687">
      <c r="C687" s="2"/>
    </row>
    <row r="688">
      <c r="C688" s="2"/>
    </row>
    <row r="689">
      <c r="C689" s="2"/>
    </row>
    <row r="690">
      <c r="C690" s="2"/>
    </row>
    <row r="691">
      <c r="C691" s="2"/>
    </row>
    <row r="692">
      <c r="C692" s="2"/>
    </row>
    <row r="693">
      <c r="C693" s="2"/>
    </row>
    <row r="694">
      <c r="C694" s="2"/>
    </row>
    <row r="695">
      <c r="C695" s="2"/>
    </row>
    <row r="696">
      <c r="C696" s="2"/>
    </row>
    <row r="697">
      <c r="C697" s="2"/>
    </row>
    <row r="698">
      <c r="C698" s="2"/>
    </row>
    <row r="699">
      <c r="C699" s="2"/>
    </row>
    <row r="700">
      <c r="C700" s="2"/>
    </row>
    <row r="701">
      <c r="C701" s="2"/>
    </row>
    <row r="702">
      <c r="C702" s="2"/>
    </row>
    <row r="703">
      <c r="C703" s="2"/>
    </row>
    <row r="704">
      <c r="C704" s="2"/>
    </row>
    <row r="705">
      <c r="C705" s="2"/>
    </row>
    <row r="706">
      <c r="C706" s="2"/>
    </row>
    <row r="707">
      <c r="C707" s="2"/>
    </row>
    <row r="708">
      <c r="C708" s="2"/>
    </row>
    <row r="709">
      <c r="C709" s="2"/>
    </row>
    <row r="710">
      <c r="C710" s="2"/>
    </row>
    <row r="711">
      <c r="C711" s="2"/>
    </row>
    <row r="712">
      <c r="C712" s="2"/>
    </row>
    <row r="713">
      <c r="C713" s="2"/>
    </row>
    <row r="714">
      <c r="C714" s="2"/>
    </row>
    <row r="715">
      <c r="C715" s="2"/>
    </row>
    <row r="716">
      <c r="C716" s="2"/>
    </row>
    <row r="717">
      <c r="C717" s="2"/>
    </row>
    <row r="718">
      <c r="C718" s="2"/>
    </row>
    <row r="719">
      <c r="C719" s="2"/>
    </row>
    <row r="720">
      <c r="C720" s="2"/>
    </row>
    <row r="721">
      <c r="C721" s="2"/>
    </row>
    <row r="722">
      <c r="C722" s="2"/>
    </row>
    <row r="723">
      <c r="C723" s="2"/>
    </row>
    <row r="724">
      <c r="C724" s="2"/>
    </row>
    <row r="725">
      <c r="C725" s="2"/>
    </row>
    <row r="726">
      <c r="C726" s="2"/>
    </row>
    <row r="727">
      <c r="C727" s="2"/>
    </row>
    <row r="728">
      <c r="C728" s="2"/>
    </row>
    <row r="729">
      <c r="C729" s="2"/>
    </row>
    <row r="730">
      <c r="C730" s="2"/>
    </row>
    <row r="731">
      <c r="C731" s="2"/>
    </row>
    <row r="732">
      <c r="C732" s="2"/>
    </row>
    <row r="733">
      <c r="C733" s="2"/>
    </row>
    <row r="734">
      <c r="C734" s="2"/>
    </row>
    <row r="735">
      <c r="C735" s="2"/>
    </row>
    <row r="736">
      <c r="C736" s="2"/>
    </row>
    <row r="737">
      <c r="C737" s="2"/>
    </row>
    <row r="738">
      <c r="C738" s="2"/>
    </row>
    <row r="739">
      <c r="C739" s="2"/>
    </row>
    <row r="740">
      <c r="C740" s="2"/>
    </row>
    <row r="741">
      <c r="C741" s="2"/>
    </row>
    <row r="742">
      <c r="C742" s="2"/>
    </row>
    <row r="743">
      <c r="C743" s="2"/>
    </row>
    <row r="744">
      <c r="C744" s="2"/>
    </row>
    <row r="745">
      <c r="C745" s="2"/>
    </row>
    <row r="746">
      <c r="C746" s="2"/>
    </row>
    <row r="747">
      <c r="C747" s="2"/>
    </row>
    <row r="748">
      <c r="C748" s="2"/>
    </row>
    <row r="749">
      <c r="C749" s="2"/>
    </row>
    <row r="750">
      <c r="C750" s="2"/>
    </row>
    <row r="751">
      <c r="C751" s="2"/>
    </row>
    <row r="752">
      <c r="C752" s="2"/>
    </row>
    <row r="753">
      <c r="C753" s="2"/>
    </row>
    <row r="754">
      <c r="C754" s="2"/>
    </row>
    <row r="755">
      <c r="C755" s="2"/>
    </row>
    <row r="756">
      <c r="C756" s="2"/>
    </row>
    <row r="757">
      <c r="C757" s="2"/>
    </row>
    <row r="758">
      <c r="C758" s="2"/>
    </row>
    <row r="759">
      <c r="C759" s="2"/>
    </row>
    <row r="760">
      <c r="C760" s="2"/>
    </row>
    <row r="761">
      <c r="C761" s="2"/>
    </row>
    <row r="762">
      <c r="C762" s="2"/>
    </row>
    <row r="763">
      <c r="C763" s="2"/>
    </row>
    <row r="764">
      <c r="C764" s="2"/>
    </row>
    <row r="765">
      <c r="C765" s="2"/>
    </row>
    <row r="766">
      <c r="C766" s="2"/>
    </row>
    <row r="767">
      <c r="C767" s="2"/>
    </row>
    <row r="768">
      <c r="C768" s="2"/>
    </row>
    <row r="769">
      <c r="C769" s="2"/>
    </row>
    <row r="770">
      <c r="C770" s="2"/>
    </row>
    <row r="771">
      <c r="C771" s="2"/>
    </row>
    <row r="772">
      <c r="C772" s="2"/>
    </row>
    <row r="773">
      <c r="C773" s="2"/>
    </row>
    <row r="774">
      <c r="C774" s="2"/>
    </row>
    <row r="775">
      <c r="C775" s="2"/>
    </row>
    <row r="776">
      <c r="C776" s="2"/>
    </row>
    <row r="777">
      <c r="C777" s="2"/>
    </row>
    <row r="778">
      <c r="C778" s="2"/>
    </row>
    <row r="779">
      <c r="C779" s="2"/>
    </row>
    <row r="780">
      <c r="C780" s="2"/>
    </row>
    <row r="781">
      <c r="C781" s="2"/>
    </row>
    <row r="782">
      <c r="C782" s="2"/>
    </row>
    <row r="783">
      <c r="C783" s="2"/>
    </row>
    <row r="784">
      <c r="C784" s="2"/>
    </row>
    <row r="785">
      <c r="C785" s="2"/>
    </row>
    <row r="786">
      <c r="C786" s="2"/>
    </row>
    <row r="787">
      <c r="C787" s="2"/>
    </row>
    <row r="788">
      <c r="C788" s="2"/>
    </row>
    <row r="789">
      <c r="C789" s="2"/>
    </row>
    <row r="790">
      <c r="C790" s="2"/>
    </row>
    <row r="791">
      <c r="C791" s="2"/>
    </row>
    <row r="792">
      <c r="C792" s="2"/>
    </row>
    <row r="793">
      <c r="C793" s="2"/>
    </row>
    <row r="794">
      <c r="C794" s="2"/>
    </row>
    <row r="795">
      <c r="C795" s="2"/>
    </row>
    <row r="796">
      <c r="C796" s="2"/>
    </row>
    <row r="797">
      <c r="C797" s="2"/>
    </row>
    <row r="798">
      <c r="C798" s="2"/>
    </row>
    <row r="799">
      <c r="C799" s="2"/>
    </row>
    <row r="800">
      <c r="C800" s="2"/>
    </row>
    <row r="801">
      <c r="C801" s="2"/>
    </row>
    <row r="802">
      <c r="C802" s="2"/>
    </row>
    <row r="803">
      <c r="C803" s="2"/>
    </row>
    <row r="804">
      <c r="C804" s="2"/>
    </row>
    <row r="805">
      <c r="C805" s="2"/>
    </row>
    <row r="806">
      <c r="C806" s="2"/>
    </row>
    <row r="807">
      <c r="C807" s="2"/>
    </row>
    <row r="808">
      <c r="C808" s="2"/>
    </row>
    <row r="809">
      <c r="C809" s="2"/>
    </row>
    <row r="810">
      <c r="C810" s="2"/>
    </row>
    <row r="811">
      <c r="C811" s="2"/>
    </row>
    <row r="812">
      <c r="C812" s="2"/>
    </row>
    <row r="813">
      <c r="C813" s="2"/>
    </row>
    <row r="814">
      <c r="C814" s="2"/>
    </row>
    <row r="815">
      <c r="C815" s="2"/>
    </row>
    <row r="816">
      <c r="C816" s="2"/>
    </row>
    <row r="817">
      <c r="C817" s="2"/>
    </row>
    <row r="818">
      <c r="C818" s="2"/>
    </row>
    <row r="819">
      <c r="C819" s="2"/>
    </row>
    <row r="820">
      <c r="C820" s="2"/>
    </row>
    <row r="821">
      <c r="C821" s="2"/>
    </row>
    <row r="822">
      <c r="C822" s="2"/>
    </row>
    <row r="823">
      <c r="C823" s="2"/>
    </row>
    <row r="824">
      <c r="C824" s="2"/>
    </row>
    <row r="825">
      <c r="C825" s="2"/>
    </row>
    <row r="826">
      <c r="C826" s="2"/>
    </row>
    <row r="827">
      <c r="C827" s="2"/>
    </row>
    <row r="828">
      <c r="C828" s="2"/>
    </row>
    <row r="829">
      <c r="C829" s="2"/>
    </row>
    <row r="830">
      <c r="C830" s="2"/>
    </row>
    <row r="831">
      <c r="C831" s="2"/>
    </row>
    <row r="832">
      <c r="C832" s="2"/>
    </row>
    <row r="833">
      <c r="C833" s="2"/>
    </row>
    <row r="834">
      <c r="C834" s="2"/>
    </row>
    <row r="835">
      <c r="C835" s="2"/>
    </row>
    <row r="836">
      <c r="C836" s="2"/>
    </row>
    <row r="837">
      <c r="C837" s="2"/>
    </row>
    <row r="838">
      <c r="C838" s="2"/>
    </row>
    <row r="839">
      <c r="C839" s="2"/>
    </row>
    <row r="840">
      <c r="C840" s="2"/>
    </row>
    <row r="841">
      <c r="C841" s="2"/>
    </row>
    <row r="842">
      <c r="C842" s="2"/>
    </row>
    <row r="843">
      <c r="C843" s="2"/>
    </row>
    <row r="844">
      <c r="C844" s="2"/>
    </row>
    <row r="845">
      <c r="C845" s="2"/>
    </row>
    <row r="846">
      <c r="C846" s="2"/>
    </row>
    <row r="847">
      <c r="C847" s="2"/>
    </row>
    <row r="848">
      <c r="C848" s="2"/>
    </row>
    <row r="849">
      <c r="C849" s="2"/>
    </row>
    <row r="850">
      <c r="C850" s="2"/>
    </row>
    <row r="851">
      <c r="C851" s="2"/>
    </row>
    <row r="852">
      <c r="C852" s="2"/>
    </row>
    <row r="853">
      <c r="C853" s="2"/>
    </row>
    <row r="854">
      <c r="C854" s="2"/>
    </row>
    <row r="855">
      <c r="C855" s="2"/>
    </row>
    <row r="856">
      <c r="C856" s="2"/>
    </row>
    <row r="857">
      <c r="C857" s="2"/>
    </row>
    <row r="858">
      <c r="C858" s="2"/>
    </row>
    <row r="859">
      <c r="C859" s="2"/>
    </row>
    <row r="860">
      <c r="C860" s="2"/>
    </row>
    <row r="861">
      <c r="C861" s="2"/>
    </row>
    <row r="862">
      <c r="C862" s="2"/>
    </row>
    <row r="863">
      <c r="C863" s="2"/>
    </row>
    <row r="864">
      <c r="C864" s="2"/>
    </row>
    <row r="865">
      <c r="C865" s="2"/>
    </row>
    <row r="866">
      <c r="C866" s="2"/>
    </row>
    <row r="867">
      <c r="C867" s="2"/>
    </row>
    <row r="868">
      <c r="C868" s="2"/>
    </row>
    <row r="869">
      <c r="C869" s="2"/>
    </row>
    <row r="870">
      <c r="C870" s="2"/>
    </row>
    <row r="871">
      <c r="C871" s="2"/>
    </row>
    <row r="872">
      <c r="C872" s="2"/>
    </row>
    <row r="873">
      <c r="C873" s="2"/>
    </row>
    <row r="874">
      <c r="C874" s="2"/>
    </row>
    <row r="875">
      <c r="C875" s="2"/>
    </row>
    <row r="876">
      <c r="C876" s="2"/>
    </row>
    <row r="877">
      <c r="C877" s="2"/>
    </row>
    <row r="878">
      <c r="C878" s="2"/>
    </row>
    <row r="879">
      <c r="C879" s="2"/>
    </row>
    <row r="880">
      <c r="C880" s="2"/>
    </row>
    <row r="881">
      <c r="C881" s="2"/>
    </row>
    <row r="882">
      <c r="C882" s="2"/>
    </row>
    <row r="883">
      <c r="C883" s="2"/>
    </row>
    <row r="884">
      <c r="C884" s="2"/>
    </row>
    <row r="885">
      <c r="C885" s="2"/>
    </row>
    <row r="886">
      <c r="C886" s="2"/>
    </row>
    <row r="887">
      <c r="C887" s="2"/>
    </row>
    <row r="888">
      <c r="C888" s="2"/>
    </row>
    <row r="889">
      <c r="C889" s="2"/>
    </row>
    <row r="890">
      <c r="C890" s="2"/>
    </row>
    <row r="891">
      <c r="C891" s="2"/>
    </row>
    <row r="892">
      <c r="C892" s="2"/>
    </row>
    <row r="893">
      <c r="C893" s="2"/>
    </row>
    <row r="894">
      <c r="C894" s="2"/>
    </row>
    <row r="895">
      <c r="C895" s="2"/>
    </row>
    <row r="896">
      <c r="C896" s="2"/>
    </row>
    <row r="897">
      <c r="C897" s="2"/>
    </row>
    <row r="898">
      <c r="C898" s="2"/>
    </row>
    <row r="899">
      <c r="C899" s="2"/>
    </row>
    <row r="900">
      <c r="C900" s="2"/>
    </row>
    <row r="901">
      <c r="C901" s="2"/>
    </row>
    <row r="902">
      <c r="C902" s="2"/>
    </row>
    <row r="903">
      <c r="C903" s="2"/>
    </row>
    <row r="904">
      <c r="C904" s="2"/>
    </row>
    <row r="905">
      <c r="C905" s="2"/>
    </row>
    <row r="906">
      <c r="C906" s="2"/>
    </row>
    <row r="907">
      <c r="C907" s="2"/>
    </row>
    <row r="908">
      <c r="C908" s="2"/>
    </row>
    <row r="909">
      <c r="C909" s="2"/>
    </row>
    <row r="910">
      <c r="C910" s="2"/>
    </row>
    <row r="911">
      <c r="C911" s="2"/>
    </row>
    <row r="912">
      <c r="C912" s="2"/>
    </row>
    <row r="913">
      <c r="C913" s="2"/>
    </row>
    <row r="914">
      <c r="C914" s="2"/>
    </row>
    <row r="915">
      <c r="C915" s="2"/>
    </row>
    <row r="916">
      <c r="C916" s="2"/>
    </row>
    <row r="917">
      <c r="C917" s="2"/>
    </row>
    <row r="918">
      <c r="C918" s="2"/>
    </row>
    <row r="919">
      <c r="C919" s="2"/>
    </row>
    <row r="920">
      <c r="C920" s="2"/>
    </row>
    <row r="921">
      <c r="C921" s="2"/>
    </row>
    <row r="922">
      <c r="C922" s="2"/>
    </row>
    <row r="923">
      <c r="C923" s="2"/>
    </row>
    <row r="924">
      <c r="C924" s="2"/>
    </row>
    <row r="925">
      <c r="C925" s="2"/>
    </row>
    <row r="926">
      <c r="C926" s="2"/>
    </row>
    <row r="927">
      <c r="C927" s="2"/>
    </row>
    <row r="928">
      <c r="C928" s="2"/>
    </row>
    <row r="929">
      <c r="C929" s="2"/>
    </row>
    <row r="930">
      <c r="C930" s="2"/>
    </row>
    <row r="931">
      <c r="C931" s="2"/>
    </row>
    <row r="932">
      <c r="C932" s="2"/>
    </row>
    <row r="933">
      <c r="C933" s="2"/>
    </row>
    <row r="934">
      <c r="C934" s="2"/>
    </row>
    <row r="935">
      <c r="C935" s="2"/>
    </row>
    <row r="936">
      <c r="C936" s="2"/>
    </row>
    <row r="937">
      <c r="C937" s="2"/>
    </row>
    <row r="938">
      <c r="C938" s="2"/>
    </row>
    <row r="939">
      <c r="C939" s="2"/>
    </row>
    <row r="940">
      <c r="C940" s="2"/>
    </row>
    <row r="941">
      <c r="C941" s="2"/>
    </row>
    <row r="942">
      <c r="C942" s="2"/>
    </row>
    <row r="943">
      <c r="C943" s="2"/>
    </row>
    <row r="944">
      <c r="C944" s="2"/>
    </row>
    <row r="945">
      <c r="C945" s="2"/>
    </row>
    <row r="946">
      <c r="C946" s="2"/>
    </row>
    <row r="947">
      <c r="C947" s="2"/>
    </row>
    <row r="948">
      <c r="C948" s="2"/>
    </row>
    <row r="949">
      <c r="C949" s="2"/>
    </row>
    <row r="950">
      <c r="C950" s="2"/>
    </row>
    <row r="951">
      <c r="C951" s="2"/>
    </row>
    <row r="952">
      <c r="C952" s="2"/>
    </row>
    <row r="953">
      <c r="C953" s="2"/>
    </row>
    <row r="954">
      <c r="C954" s="2"/>
    </row>
    <row r="955">
      <c r="C955" s="2"/>
    </row>
    <row r="956">
      <c r="C956" s="2"/>
    </row>
    <row r="957">
      <c r="C957" s="2"/>
    </row>
    <row r="958">
      <c r="C958" s="2"/>
    </row>
    <row r="959">
      <c r="C959" s="2"/>
    </row>
    <row r="960">
      <c r="C960" s="2"/>
    </row>
    <row r="961">
      <c r="C961" s="2"/>
    </row>
    <row r="962">
      <c r="C962" s="2"/>
    </row>
    <row r="963">
      <c r="C963" s="2"/>
    </row>
    <row r="964">
      <c r="C964" s="2"/>
    </row>
    <row r="965">
      <c r="C965" s="2"/>
    </row>
    <row r="966">
      <c r="C966" s="2"/>
    </row>
    <row r="967">
      <c r="C967" s="2"/>
    </row>
    <row r="968">
      <c r="C968" s="2"/>
    </row>
    <row r="969">
      <c r="C969" s="2"/>
    </row>
    <row r="970">
      <c r="C970" s="2"/>
    </row>
    <row r="971">
      <c r="C971" s="2"/>
    </row>
    <row r="972">
      <c r="C972" s="2"/>
    </row>
    <row r="973">
      <c r="C973" s="2"/>
    </row>
    <row r="974">
      <c r="C974" s="2"/>
    </row>
    <row r="975">
      <c r="C975" s="2"/>
    </row>
    <row r="976">
      <c r="C976" s="2"/>
    </row>
    <row r="977">
      <c r="C977" s="2"/>
    </row>
    <row r="978">
      <c r="C978" s="2"/>
    </row>
    <row r="979">
      <c r="C979" s="2"/>
    </row>
    <row r="980">
      <c r="C980" s="2"/>
    </row>
    <row r="981">
      <c r="C981" s="2"/>
    </row>
    <row r="982">
      <c r="C982" s="2"/>
    </row>
    <row r="983">
      <c r="C983" s="2"/>
    </row>
    <row r="984">
      <c r="C984" s="2"/>
    </row>
    <row r="985">
      <c r="C985" s="2"/>
    </row>
    <row r="986">
      <c r="C986" s="2"/>
    </row>
    <row r="987">
      <c r="C987" s="2"/>
    </row>
    <row r="988">
      <c r="C988" s="2"/>
    </row>
    <row r="989">
      <c r="C989" s="2"/>
    </row>
    <row r="990">
      <c r="C990" s="2"/>
    </row>
    <row r="991">
      <c r="C991" s="2"/>
    </row>
    <row r="992">
      <c r="C992" s="2"/>
    </row>
    <row r="993">
      <c r="C993" s="2"/>
    </row>
    <row r="994">
      <c r="C994" s="2"/>
    </row>
    <row r="995">
      <c r="C995" s="2"/>
    </row>
    <row r="996">
      <c r="C996" s="2"/>
    </row>
    <row r="997">
      <c r="C997" s="2"/>
    </row>
    <row r="998">
      <c r="C998" s="2"/>
    </row>
    <row r="999">
      <c r="C999" s="2"/>
    </row>
    <row r="1000">
      <c r="C1000" s="2"/>
    </row>
    <row r="1001">
      <c r="C1001" s="2"/>
    </row>
    <row r="1002">
      <c r="C1002" s="2"/>
    </row>
    <row r="1003">
      <c r="C1003" s="2"/>
    </row>
    <row r="1004">
      <c r="C1004" s="2"/>
    </row>
    <row r="1005">
      <c r="C1005" s="2"/>
    </row>
    <row r="1006">
      <c r="C1006" s="2"/>
    </row>
    <row r="1007">
      <c r="C1007" s="2"/>
    </row>
    <row r="1008">
      <c r="C1008" s="2"/>
    </row>
    <row r="1009">
      <c r="C1009" s="2"/>
    </row>
    <row r="1010">
      <c r="C1010" s="2"/>
    </row>
    <row r="1011">
      <c r="C1011" s="2"/>
    </row>
    <row r="1012">
      <c r="C1012" s="2"/>
    </row>
  </sheetData>
  <mergeCells count="16">
    <mergeCell ref="F4:K6"/>
    <mergeCell ref="F12:K15"/>
    <mergeCell ref="F21:K22"/>
    <mergeCell ref="F29:K32"/>
    <mergeCell ref="F38:I38"/>
    <mergeCell ref="F47:K77"/>
    <mergeCell ref="K92:M101"/>
    <mergeCell ref="F226:J240"/>
    <mergeCell ref="F247:I255"/>
    <mergeCell ref="F92:I105"/>
    <mergeCell ref="F109:J121"/>
    <mergeCell ref="F144:I158"/>
    <mergeCell ref="F161:L171"/>
    <mergeCell ref="F175:L194"/>
    <mergeCell ref="F201:I209"/>
    <mergeCell ref="F215:I219"/>
  </mergeCells>
  <hyperlinks>
    <hyperlink r:id="rId1" ref="A1"/>
    <hyperlink r:id="rId2" ref="A46"/>
    <hyperlink r:id="rId3" ref="A123"/>
    <hyperlink r:id="rId4" ref="F125"/>
    <hyperlink r:id="rId5" ref="F126"/>
    <hyperlink r:id="rId6" ref="F127"/>
    <hyperlink r:id="rId7" location="item=1" ref="F128"/>
    <hyperlink r:id="rId8" ref="A141"/>
    <hyperlink r:id="rId9" ref="A174"/>
    <hyperlink r:id="rId10" ref="A199"/>
    <hyperlink r:id="rId11" ref="A213"/>
    <hyperlink r:id="rId12" ref="A224"/>
    <hyperlink r:id="rId13" ref="A232"/>
    <hyperlink r:id="rId14" ref="A244"/>
    <hyperlink r:id="rId15" ref="A302"/>
    <hyperlink r:id="rId16" ref="A303"/>
    <hyperlink r:id="rId17" ref="A304"/>
  </hyperlinks>
  <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23.38"/>
    <col customWidth="1" min="8" max="8" width="15.75"/>
    <col customWidth="1" min="10" max="10" width="25.25"/>
  </cols>
  <sheetData>
    <row r="1">
      <c r="A1" s="15" t="s">
        <v>12</v>
      </c>
      <c r="B1" s="18"/>
      <c r="C1" s="20"/>
      <c r="D1" s="18"/>
      <c r="E1" s="18"/>
      <c r="F1" s="18"/>
      <c r="G1" s="18"/>
      <c r="H1" s="23"/>
      <c r="I1" s="23"/>
      <c r="N1" s="23"/>
      <c r="O1" s="23"/>
      <c r="P1" s="23"/>
      <c r="Q1" s="23"/>
      <c r="R1" s="23"/>
      <c r="S1" s="23"/>
      <c r="T1" s="23"/>
      <c r="U1" s="23"/>
      <c r="V1" s="23"/>
      <c r="W1" s="23"/>
      <c r="X1" s="23"/>
      <c r="Y1" s="23"/>
      <c r="Z1" s="23"/>
    </row>
    <row r="2">
      <c r="A2" s="26"/>
      <c r="B2" s="18"/>
      <c r="C2" s="20"/>
      <c r="D2" s="18"/>
      <c r="E2" s="18"/>
      <c r="F2" s="18"/>
      <c r="G2" s="18"/>
      <c r="H2" s="23"/>
      <c r="I2" s="23"/>
      <c r="N2" s="23"/>
      <c r="O2" s="23"/>
      <c r="P2" s="23"/>
      <c r="Q2" s="23"/>
      <c r="R2" s="23"/>
      <c r="S2" s="23"/>
      <c r="T2" s="23"/>
      <c r="U2" s="23"/>
      <c r="V2" s="23"/>
      <c r="W2" s="23"/>
      <c r="X2" s="23"/>
      <c r="Y2" s="23"/>
      <c r="Z2" s="23"/>
    </row>
    <row r="3">
      <c r="A3" s="13" t="s">
        <v>20</v>
      </c>
      <c r="B3" s="30" t="s">
        <v>22</v>
      </c>
      <c r="C3" s="20"/>
      <c r="D3" s="18"/>
      <c r="E3" s="18"/>
      <c r="F3" s="18"/>
      <c r="G3" s="18"/>
      <c r="H3" s="18"/>
      <c r="I3" s="23"/>
      <c r="N3" s="23"/>
      <c r="O3" s="23"/>
      <c r="P3" s="23"/>
      <c r="Q3" s="23"/>
      <c r="R3" s="23"/>
      <c r="S3" s="23"/>
      <c r="T3" s="23"/>
      <c r="U3" s="23"/>
      <c r="V3" s="23"/>
      <c r="W3" s="23"/>
      <c r="X3" s="23"/>
      <c r="Y3" s="23"/>
      <c r="Z3" s="23"/>
    </row>
    <row r="4">
      <c r="B4" s="37" t="s">
        <v>25</v>
      </c>
      <c r="C4" s="39" t="s">
        <v>22</v>
      </c>
      <c r="D4" s="37" t="s">
        <v>29</v>
      </c>
      <c r="E4" s="37" t="s">
        <v>31</v>
      </c>
      <c r="F4" s="37" t="s">
        <v>32</v>
      </c>
      <c r="G4" s="37" t="s">
        <v>34</v>
      </c>
      <c r="H4" s="37" t="s">
        <v>35</v>
      </c>
    </row>
    <row r="5">
      <c r="B5" s="41">
        <v>4.0</v>
      </c>
      <c r="C5" s="44" t="s">
        <v>38</v>
      </c>
      <c r="D5" s="60">
        <f>IF(C5="bleu", MIN(2, 0.5 + 0.4 * B5), IF(C5="saignant", MIN(3, 0.8 + 0.6 * B5), IF(C5="à point", MIN(4, 1 + 0.8 * B5), IF(C5="bien cuit", MIN(5, 1.5 + 1 * B5), 0))))</f>
        <v>2</v>
      </c>
      <c r="E5" s="60">
        <f>D5 * 2</f>
        <v>4</v>
      </c>
      <c r="F5" s="60">
        <f>IF(C5="bleu", 2, 3)</f>
        <v>2</v>
      </c>
      <c r="G5" s="60">
        <f>1.5</f>
        <v>1.5</v>
      </c>
      <c r="H5" s="60">
        <f>E5 + F5 + G5</f>
        <v>7.5</v>
      </c>
    </row>
    <row r="6">
      <c r="C6" s="2"/>
    </row>
    <row r="7">
      <c r="C7" s="2"/>
    </row>
    <row r="8">
      <c r="A8" s="13" t="s">
        <v>61</v>
      </c>
      <c r="B8" s="5" t="s">
        <v>4</v>
      </c>
      <c r="C8" s="6" t="s">
        <v>5</v>
      </c>
      <c r="D8" s="5" t="s">
        <v>6</v>
      </c>
    </row>
    <row r="9">
      <c r="A9" s="16" t="s">
        <v>13</v>
      </c>
      <c r="B9" s="9" t="s">
        <v>67</v>
      </c>
      <c r="C9" s="21">
        <f>350*A10</f>
        <v>350</v>
      </c>
      <c r="D9" s="29" t="s">
        <v>17</v>
      </c>
      <c r="G9" s="76" t="s">
        <v>73</v>
      </c>
      <c r="H9" s="34"/>
      <c r="I9" s="34"/>
      <c r="J9" s="34"/>
      <c r="K9" s="34"/>
      <c r="L9" s="34"/>
      <c r="M9" s="36"/>
    </row>
    <row r="10">
      <c r="A10" s="78">
        <v>1.0</v>
      </c>
      <c r="B10" s="61" t="s">
        <v>68</v>
      </c>
      <c r="C10" s="40"/>
      <c r="D10" s="31"/>
      <c r="G10" s="45"/>
      <c r="M10" s="47"/>
    </row>
    <row r="11">
      <c r="B11" s="31" t="s">
        <v>69</v>
      </c>
      <c r="C11" s="40"/>
      <c r="D11" s="31"/>
      <c r="G11" s="45"/>
      <c r="M11" s="47"/>
    </row>
    <row r="12">
      <c r="B12" s="31" t="s">
        <v>82</v>
      </c>
      <c r="C12" s="28"/>
      <c r="D12" s="31" t="s">
        <v>19</v>
      </c>
      <c r="G12" s="54"/>
      <c r="H12" s="55"/>
      <c r="I12" s="55"/>
      <c r="J12" s="55"/>
      <c r="K12" s="55"/>
      <c r="L12" s="55"/>
      <c r="M12" s="56"/>
    </row>
    <row r="13">
      <c r="B13" s="31" t="s">
        <v>84</v>
      </c>
      <c r="C13" s="28"/>
      <c r="D13" s="31" t="s">
        <v>19</v>
      </c>
    </row>
    <row r="14">
      <c r="B14" s="80" t="s">
        <v>87</v>
      </c>
      <c r="C14" s="28"/>
      <c r="D14" s="31"/>
      <c r="G14" s="62" t="s">
        <v>92</v>
      </c>
      <c r="H14" s="34"/>
      <c r="I14" s="34"/>
      <c r="J14" s="34"/>
      <c r="K14" s="34"/>
      <c r="L14" s="34"/>
      <c r="M14" s="36"/>
      <c r="N14" s="59" t="s">
        <v>93</v>
      </c>
    </row>
    <row r="15">
      <c r="B15" s="85" t="s">
        <v>75</v>
      </c>
      <c r="C15" s="28">
        <v>1.0</v>
      </c>
      <c r="D15" s="85" t="s">
        <v>97</v>
      </c>
      <c r="G15" s="45"/>
      <c r="M15" s="47"/>
    </row>
    <row r="16">
      <c r="B16" s="87" t="s">
        <v>98</v>
      </c>
      <c r="C16" s="89"/>
      <c r="D16" s="91"/>
      <c r="G16" s="45"/>
      <c r="M16" s="47"/>
    </row>
    <row r="17">
      <c r="C17" s="2"/>
      <c r="G17" s="45"/>
      <c r="M17" s="47"/>
    </row>
    <row r="18">
      <c r="C18" s="2"/>
      <c r="G18" s="45"/>
      <c r="M18" s="47"/>
    </row>
    <row r="19">
      <c r="C19" s="2"/>
      <c r="G19" s="54"/>
      <c r="H19" s="55"/>
      <c r="I19" s="55"/>
      <c r="J19" s="55"/>
      <c r="K19" s="55"/>
      <c r="L19" s="55"/>
      <c r="M19" s="56"/>
    </row>
    <row r="20">
      <c r="C20" s="2"/>
    </row>
    <row r="21">
      <c r="B21" s="76" t="s">
        <v>107</v>
      </c>
      <c r="C21" s="34"/>
      <c r="D21" s="36"/>
      <c r="G21" s="76" t="s">
        <v>109</v>
      </c>
      <c r="H21" s="34"/>
      <c r="I21" s="34"/>
      <c r="J21" s="34"/>
      <c r="K21" s="34"/>
      <c r="L21" s="34"/>
      <c r="M21" s="36"/>
    </row>
    <row r="22">
      <c r="A22" s="98"/>
      <c r="B22" s="45"/>
      <c r="D22" s="47"/>
      <c r="G22" s="45"/>
      <c r="M22" s="47"/>
    </row>
    <row r="23">
      <c r="A23" s="98"/>
      <c r="B23" s="45"/>
      <c r="D23" s="47"/>
      <c r="G23" s="45"/>
      <c r="M23" s="47"/>
    </row>
    <row r="24">
      <c r="A24" s="98"/>
      <c r="B24" s="45"/>
      <c r="D24" s="47"/>
      <c r="G24" s="45"/>
      <c r="M24" s="47"/>
    </row>
    <row r="25">
      <c r="A25" s="98"/>
      <c r="B25" s="45"/>
      <c r="D25" s="47"/>
      <c r="G25" s="54"/>
      <c r="H25" s="55"/>
      <c r="I25" s="55"/>
      <c r="J25" s="55"/>
      <c r="K25" s="55"/>
      <c r="L25" s="55"/>
      <c r="M25" s="56"/>
    </row>
    <row r="26">
      <c r="A26" s="98"/>
      <c r="B26" s="45"/>
      <c r="D26" s="47"/>
    </row>
    <row r="27">
      <c r="B27" s="45"/>
      <c r="D27" s="47"/>
      <c r="G27" s="76" t="s">
        <v>115</v>
      </c>
      <c r="H27" s="34"/>
      <c r="I27" s="34"/>
      <c r="J27" s="34"/>
      <c r="K27" s="34"/>
      <c r="L27" s="34"/>
      <c r="M27" s="36"/>
    </row>
    <row r="28">
      <c r="B28" s="54"/>
      <c r="C28" s="55"/>
      <c r="D28" s="56"/>
      <c r="G28" s="45"/>
      <c r="M28" s="47"/>
    </row>
    <row r="29">
      <c r="C29" s="2"/>
      <c r="G29" s="45"/>
      <c r="M29" s="47"/>
    </row>
    <row r="30">
      <c r="C30" s="2"/>
      <c r="G30" s="54"/>
      <c r="H30" s="55"/>
      <c r="I30" s="55"/>
      <c r="J30" s="55"/>
      <c r="K30" s="55"/>
      <c r="L30" s="55"/>
      <c r="M30" s="56"/>
    </row>
    <row r="31">
      <c r="B31" s="76" t="s">
        <v>123</v>
      </c>
      <c r="C31" s="34"/>
      <c r="D31" s="36"/>
    </row>
    <row r="32">
      <c r="B32" s="45"/>
      <c r="D32" s="47"/>
      <c r="G32" s="62" t="s">
        <v>126</v>
      </c>
      <c r="H32" s="34"/>
      <c r="I32" s="34"/>
      <c r="J32" s="34"/>
      <c r="K32" s="34"/>
      <c r="L32" s="34"/>
      <c r="M32" s="36"/>
    </row>
    <row r="33">
      <c r="B33" s="45"/>
      <c r="D33" s="47"/>
      <c r="G33" s="45"/>
      <c r="M33" s="47"/>
    </row>
    <row r="34">
      <c r="B34" s="45"/>
      <c r="D34" s="47"/>
      <c r="G34" s="45"/>
      <c r="M34" s="47"/>
    </row>
    <row r="35">
      <c r="B35" s="45"/>
      <c r="D35" s="47"/>
      <c r="G35" s="54"/>
      <c r="H35" s="55"/>
      <c r="I35" s="55"/>
      <c r="J35" s="55"/>
      <c r="K35" s="55"/>
      <c r="L35" s="55"/>
      <c r="M35" s="56"/>
    </row>
    <row r="36">
      <c r="B36" s="45"/>
      <c r="D36" s="47"/>
    </row>
    <row r="37">
      <c r="B37" s="45"/>
      <c r="D37" s="47"/>
    </row>
    <row r="38">
      <c r="B38" s="45"/>
      <c r="D38" s="47"/>
      <c r="I38" s="23"/>
      <c r="J38" s="23"/>
    </row>
    <row r="39">
      <c r="B39" s="45"/>
      <c r="D39" s="47"/>
      <c r="G39" s="59" t="s">
        <v>132</v>
      </c>
      <c r="I39" s="23"/>
      <c r="J39" s="23"/>
    </row>
    <row r="40">
      <c r="B40" s="45"/>
      <c r="D40" s="47"/>
      <c r="G40" s="59" t="s">
        <v>134</v>
      </c>
      <c r="H40" s="57" t="s">
        <v>135</v>
      </c>
      <c r="I40" s="23"/>
      <c r="J40" s="23"/>
    </row>
    <row r="41">
      <c r="B41" s="45"/>
      <c r="D41" s="47"/>
      <c r="G41" s="59" t="s">
        <v>144</v>
      </c>
      <c r="H41" s="57" t="s">
        <v>145</v>
      </c>
    </row>
    <row r="42">
      <c r="B42" s="45"/>
      <c r="D42" s="47"/>
      <c r="G42" s="59" t="s">
        <v>149</v>
      </c>
      <c r="H42" s="57" t="s">
        <v>150</v>
      </c>
    </row>
    <row r="43">
      <c r="B43" s="45"/>
      <c r="D43" s="47"/>
      <c r="G43" s="59" t="s">
        <v>157</v>
      </c>
      <c r="H43" s="57" t="s">
        <v>159</v>
      </c>
    </row>
    <row r="44">
      <c r="B44" s="54"/>
      <c r="C44" s="55"/>
      <c r="D44" s="56"/>
    </row>
    <row r="45">
      <c r="C45" s="2"/>
    </row>
    <row r="46">
      <c r="C46" s="2"/>
    </row>
    <row r="47">
      <c r="C47" s="2"/>
    </row>
    <row r="48">
      <c r="C48" s="2"/>
    </row>
    <row r="49">
      <c r="C49" s="2"/>
    </row>
    <row r="50">
      <c r="C50" s="2"/>
    </row>
    <row r="51">
      <c r="C51" s="2"/>
    </row>
    <row r="52">
      <c r="C52" s="2"/>
    </row>
    <row r="53">
      <c r="C53" s="2"/>
    </row>
    <row r="54">
      <c r="C54" s="2"/>
    </row>
    <row r="55">
      <c r="C55" s="2"/>
    </row>
    <row r="56">
      <c r="C56" s="2"/>
    </row>
    <row r="57">
      <c r="C57" s="2"/>
    </row>
    <row r="58">
      <c r="C58" s="2"/>
    </row>
    <row r="59">
      <c r="C59" s="2"/>
    </row>
    <row r="60">
      <c r="C60" s="2"/>
    </row>
    <row r="61">
      <c r="C61" s="2"/>
    </row>
    <row r="62">
      <c r="C62" s="2"/>
    </row>
    <row r="63">
      <c r="C63" s="2"/>
    </row>
    <row r="64">
      <c r="C64" s="2"/>
    </row>
    <row r="65">
      <c r="C65" s="2"/>
    </row>
    <row r="66">
      <c r="C66" s="2"/>
    </row>
    <row r="67">
      <c r="C67" s="2"/>
    </row>
    <row r="68">
      <c r="C68" s="2"/>
    </row>
    <row r="69">
      <c r="C69" s="2"/>
    </row>
    <row r="70">
      <c r="C70" s="2"/>
    </row>
    <row r="71">
      <c r="C71" s="2"/>
    </row>
    <row r="72">
      <c r="C72" s="2"/>
    </row>
    <row r="73">
      <c r="C73" s="2"/>
    </row>
    <row r="74">
      <c r="C74" s="2"/>
    </row>
    <row r="75">
      <c r="C75" s="2"/>
    </row>
    <row r="76">
      <c r="C76" s="2"/>
    </row>
    <row r="77">
      <c r="C77" s="2"/>
    </row>
    <row r="78">
      <c r="C78" s="2"/>
    </row>
    <row r="79">
      <c r="C79" s="2"/>
    </row>
    <row r="80">
      <c r="C80" s="2"/>
    </row>
    <row r="81">
      <c r="C81" s="2"/>
    </row>
    <row r="82">
      <c r="C82" s="2"/>
    </row>
    <row r="83">
      <c r="C83" s="2"/>
    </row>
    <row r="84">
      <c r="C84" s="2"/>
    </row>
    <row r="85">
      <c r="C85" s="2"/>
    </row>
    <row r="86">
      <c r="C86" s="2"/>
    </row>
    <row r="87">
      <c r="C87" s="2"/>
    </row>
    <row r="88">
      <c r="C88" s="2"/>
    </row>
    <row r="89">
      <c r="C89" s="2"/>
    </row>
    <row r="90">
      <c r="C90" s="2"/>
    </row>
    <row r="91">
      <c r="C91" s="2"/>
    </row>
    <row r="92">
      <c r="C92" s="2"/>
    </row>
    <row r="93">
      <c r="C93" s="2"/>
    </row>
    <row r="94">
      <c r="C94" s="2"/>
    </row>
    <row r="95">
      <c r="C95" s="2"/>
    </row>
    <row r="96">
      <c r="C96" s="2"/>
    </row>
    <row r="97">
      <c r="C97" s="2"/>
    </row>
    <row r="98">
      <c r="C98" s="2"/>
    </row>
    <row r="99">
      <c r="C99" s="2"/>
    </row>
    <row r="100">
      <c r="C100" s="2"/>
    </row>
    <row r="101">
      <c r="C101" s="2"/>
    </row>
    <row r="102">
      <c r="C102" s="2"/>
    </row>
    <row r="103">
      <c r="C103" s="2"/>
    </row>
    <row r="104">
      <c r="C104" s="2"/>
    </row>
    <row r="105">
      <c r="C105" s="2"/>
    </row>
    <row r="106">
      <c r="C106" s="2"/>
    </row>
    <row r="107">
      <c r="C107" s="2"/>
    </row>
    <row r="108">
      <c r="C108" s="2"/>
    </row>
    <row r="109">
      <c r="C109" s="2"/>
    </row>
    <row r="110">
      <c r="C110" s="2"/>
    </row>
    <row r="111">
      <c r="C111" s="2"/>
    </row>
    <row r="112">
      <c r="C112" s="2"/>
    </row>
    <row r="113">
      <c r="C113" s="2"/>
    </row>
    <row r="114">
      <c r="C114" s="2"/>
    </row>
    <row r="115">
      <c r="C115" s="2"/>
    </row>
    <row r="116">
      <c r="C116" s="2"/>
    </row>
    <row r="117">
      <c r="C117" s="2"/>
    </row>
    <row r="118">
      <c r="C118" s="2"/>
    </row>
    <row r="119">
      <c r="C119" s="2"/>
    </row>
    <row r="120">
      <c r="C120" s="2"/>
    </row>
    <row r="121">
      <c r="C121" s="2"/>
    </row>
    <row r="122">
      <c r="C122" s="2"/>
    </row>
    <row r="123">
      <c r="C123" s="2"/>
    </row>
    <row r="124">
      <c r="C124" s="2"/>
    </row>
    <row r="125">
      <c r="C125" s="2"/>
    </row>
    <row r="126">
      <c r="C126" s="2"/>
    </row>
    <row r="127">
      <c r="C127" s="2"/>
    </row>
    <row r="128">
      <c r="C128" s="2"/>
    </row>
    <row r="129">
      <c r="C129" s="2"/>
    </row>
    <row r="130">
      <c r="C130" s="2"/>
    </row>
    <row r="131">
      <c r="C131" s="2"/>
    </row>
    <row r="132">
      <c r="C132" s="2"/>
    </row>
    <row r="133">
      <c r="C133" s="2"/>
    </row>
    <row r="134">
      <c r="C134" s="2"/>
    </row>
    <row r="135">
      <c r="C135" s="2"/>
    </row>
    <row r="136">
      <c r="C136" s="2"/>
    </row>
    <row r="137">
      <c r="C137" s="2"/>
    </row>
    <row r="138">
      <c r="C138" s="2"/>
    </row>
    <row r="139">
      <c r="C139" s="2"/>
    </row>
    <row r="140">
      <c r="C140" s="2"/>
    </row>
    <row r="141">
      <c r="C141" s="2"/>
    </row>
    <row r="142">
      <c r="C142" s="2"/>
    </row>
    <row r="143">
      <c r="C143" s="2"/>
    </row>
    <row r="144">
      <c r="C144" s="2"/>
    </row>
    <row r="145">
      <c r="C145" s="2"/>
    </row>
    <row r="146">
      <c r="C146" s="2"/>
    </row>
    <row r="147">
      <c r="C147" s="2"/>
    </row>
    <row r="148">
      <c r="C148" s="2"/>
    </row>
    <row r="149">
      <c r="C149" s="2"/>
    </row>
    <row r="150">
      <c r="C150" s="2"/>
    </row>
    <row r="151">
      <c r="C151" s="2"/>
    </row>
    <row r="152">
      <c r="C152" s="2"/>
    </row>
    <row r="153">
      <c r="C153" s="2"/>
    </row>
    <row r="154">
      <c r="C154" s="2"/>
    </row>
    <row r="155">
      <c r="C155" s="2"/>
    </row>
    <row r="156">
      <c r="C156" s="2"/>
    </row>
    <row r="157">
      <c r="C157" s="2"/>
    </row>
    <row r="158">
      <c r="C158" s="2"/>
    </row>
    <row r="159">
      <c r="C159" s="2"/>
    </row>
    <row r="160">
      <c r="C160" s="2"/>
    </row>
    <row r="161">
      <c r="C161" s="2"/>
    </row>
    <row r="162">
      <c r="C162" s="2"/>
    </row>
    <row r="163">
      <c r="C163" s="2"/>
    </row>
    <row r="164">
      <c r="C164" s="2"/>
    </row>
    <row r="165">
      <c r="C165" s="2"/>
    </row>
    <row r="166">
      <c r="C166" s="2"/>
    </row>
    <row r="167">
      <c r="C167" s="2"/>
    </row>
    <row r="168">
      <c r="C168" s="2"/>
    </row>
    <row r="169">
      <c r="C169" s="2"/>
    </row>
    <row r="170">
      <c r="C170" s="2"/>
    </row>
    <row r="171">
      <c r="C171" s="2"/>
    </row>
    <row r="172">
      <c r="C172" s="2"/>
    </row>
    <row r="173">
      <c r="C173" s="2"/>
    </row>
    <row r="174">
      <c r="C174" s="2"/>
    </row>
    <row r="175">
      <c r="C175" s="2"/>
    </row>
    <row r="176">
      <c r="C176" s="2"/>
    </row>
    <row r="177">
      <c r="C177" s="2"/>
    </row>
    <row r="178">
      <c r="C178" s="2"/>
    </row>
    <row r="179">
      <c r="C179" s="2"/>
    </row>
    <row r="180">
      <c r="C180" s="2"/>
    </row>
    <row r="181">
      <c r="C181" s="2"/>
    </row>
    <row r="182">
      <c r="C182" s="2"/>
    </row>
    <row r="183">
      <c r="C183" s="2"/>
    </row>
    <row r="184">
      <c r="C184" s="2"/>
    </row>
    <row r="185">
      <c r="C185" s="2"/>
    </row>
    <row r="186">
      <c r="C186" s="2"/>
    </row>
    <row r="187">
      <c r="C187" s="2"/>
    </row>
    <row r="188">
      <c r="C188" s="2"/>
    </row>
    <row r="189">
      <c r="C189" s="2"/>
    </row>
    <row r="190">
      <c r="C190" s="2"/>
    </row>
    <row r="191">
      <c r="C191" s="2"/>
    </row>
    <row r="192">
      <c r="C192" s="2"/>
    </row>
    <row r="193">
      <c r="C193" s="2"/>
    </row>
    <row r="194">
      <c r="C194" s="2"/>
    </row>
    <row r="195">
      <c r="C195" s="2"/>
    </row>
    <row r="196">
      <c r="C196" s="2"/>
    </row>
    <row r="197">
      <c r="C197" s="2"/>
    </row>
    <row r="198">
      <c r="C198" s="2"/>
    </row>
    <row r="199">
      <c r="C199" s="2"/>
    </row>
    <row r="200">
      <c r="C200" s="2"/>
    </row>
    <row r="201">
      <c r="C201" s="2"/>
    </row>
    <row r="202">
      <c r="C202" s="2"/>
    </row>
    <row r="203">
      <c r="C203" s="2"/>
    </row>
    <row r="204">
      <c r="C204" s="2"/>
    </row>
    <row r="205">
      <c r="C205" s="2"/>
    </row>
    <row r="206">
      <c r="C206" s="2"/>
    </row>
    <row r="207">
      <c r="C207" s="2"/>
    </row>
    <row r="208">
      <c r="C208" s="2"/>
    </row>
    <row r="209">
      <c r="C209" s="2"/>
    </row>
    <row r="210">
      <c r="C210" s="2"/>
    </row>
    <row r="211">
      <c r="C211" s="2"/>
    </row>
    <row r="212">
      <c r="C212" s="2"/>
    </row>
    <row r="213">
      <c r="C213" s="2"/>
    </row>
    <row r="214">
      <c r="C214" s="2"/>
    </row>
    <row r="215">
      <c r="C215" s="2"/>
    </row>
    <row r="216">
      <c r="C216" s="2"/>
    </row>
    <row r="217">
      <c r="C217" s="2"/>
    </row>
    <row r="218">
      <c r="C218" s="2"/>
    </row>
    <row r="219">
      <c r="C219" s="2"/>
    </row>
    <row r="220">
      <c r="C220" s="2"/>
    </row>
    <row r="221">
      <c r="C221" s="2"/>
    </row>
    <row r="222">
      <c r="C222" s="2"/>
    </row>
    <row r="223">
      <c r="C223" s="2"/>
    </row>
    <row r="224">
      <c r="C224" s="2"/>
    </row>
    <row r="225">
      <c r="C225" s="2"/>
    </row>
    <row r="226">
      <c r="C226" s="2"/>
    </row>
    <row r="227">
      <c r="C227" s="2"/>
    </row>
    <row r="228">
      <c r="C228" s="2"/>
    </row>
    <row r="229">
      <c r="C229" s="2"/>
    </row>
    <row r="230">
      <c r="C230" s="2"/>
    </row>
    <row r="231">
      <c r="C231" s="2"/>
    </row>
    <row r="232">
      <c r="C232" s="2"/>
    </row>
    <row r="233">
      <c r="C233" s="2"/>
    </row>
    <row r="234">
      <c r="C234" s="2"/>
    </row>
    <row r="235">
      <c r="C235" s="2"/>
    </row>
    <row r="236">
      <c r="C236" s="2"/>
    </row>
    <row r="237">
      <c r="C237" s="2"/>
    </row>
    <row r="238">
      <c r="C238" s="2"/>
    </row>
    <row r="239">
      <c r="C239" s="2"/>
    </row>
    <row r="240">
      <c r="C240" s="2"/>
    </row>
    <row r="241">
      <c r="C241" s="2"/>
    </row>
    <row r="242">
      <c r="C242" s="2"/>
    </row>
    <row r="243">
      <c r="C243" s="2"/>
    </row>
    <row r="244">
      <c r="C244" s="2"/>
    </row>
    <row r="245">
      <c r="C245" s="2"/>
    </row>
    <row r="246">
      <c r="C246" s="2"/>
    </row>
    <row r="247">
      <c r="C247" s="2"/>
    </row>
    <row r="248">
      <c r="C248" s="2"/>
    </row>
    <row r="249">
      <c r="C249" s="2"/>
    </row>
    <row r="250">
      <c r="C250" s="2"/>
    </row>
    <row r="251">
      <c r="C251" s="2"/>
    </row>
    <row r="252">
      <c r="C252" s="2"/>
    </row>
    <row r="253">
      <c r="C253" s="2"/>
    </row>
    <row r="254">
      <c r="C254" s="2"/>
    </row>
    <row r="255">
      <c r="C255" s="2"/>
    </row>
    <row r="256">
      <c r="C256" s="2"/>
    </row>
    <row r="257">
      <c r="C257" s="2"/>
    </row>
    <row r="258">
      <c r="C258" s="2"/>
    </row>
    <row r="259">
      <c r="C259" s="2"/>
    </row>
    <row r="260">
      <c r="C260" s="2"/>
    </row>
    <row r="261">
      <c r="C261" s="2"/>
    </row>
    <row r="262">
      <c r="C262" s="2"/>
    </row>
    <row r="263">
      <c r="C263" s="2"/>
    </row>
    <row r="264">
      <c r="C264" s="2"/>
    </row>
    <row r="265">
      <c r="C265" s="2"/>
    </row>
    <row r="266">
      <c r="C266" s="2"/>
    </row>
    <row r="267">
      <c r="C267" s="2"/>
    </row>
    <row r="268">
      <c r="C268" s="2"/>
    </row>
    <row r="269">
      <c r="C269" s="2"/>
    </row>
    <row r="270">
      <c r="C270" s="2"/>
    </row>
    <row r="271">
      <c r="C271" s="2"/>
    </row>
    <row r="272">
      <c r="C272" s="2"/>
    </row>
    <row r="273">
      <c r="C273" s="2"/>
    </row>
    <row r="274">
      <c r="C274" s="2"/>
    </row>
    <row r="275">
      <c r="C275" s="2"/>
    </row>
    <row r="276">
      <c r="C276" s="2"/>
    </row>
    <row r="277">
      <c r="C277" s="2"/>
    </row>
    <row r="278">
      <c r="C278" s="2"/>
    </row>
    <row r="279">
      <c r="C279" s="2"/>
    </row>
    <row r="280">
      <c r="C280" s="2"/>
    </row>
    <row r="281">
      <c r="C281" s="2"/>
    </row>
    <row r="282">
      <c r="C282" s="2"/>
    </row>
    <row r="283">
      <c r="C283" s="2"/>
    </row>
    <row r="284">
      <c r="C284" s="2"/>
    </row>
    <row r="285">
      <c r="C285" s="2"/>
    </row>
    <row r="286">
      <c r="C286" s="2"/>
    </row>
    <row r="287">
      <c r="C287" s="2"/>
    </row>
    <row r="288">
      <c r="C288" s="2"/>
    </row>
    <row r="289">
      <c r="C289" s="2"/>
    </row>
    <row r="290">
      <c r="C290" s="2"/>
    </row>
    <row r="291">
      <c r="C291" s="2"/>
    </row>
    <row r="292">
      <c r="C292" s="2"/>
    </row>
    <row r="293">
      <c r="C293" s="2"/>
    </row>
    <row r="294">
      <c r="C294" s="2"/>
    </row>
    <row r="295">
      <c r="C295" s="2"/>
    </row>
    <row r="296">
      <c r="C296" s="2"/>
    </row>
    <row r="297">
      <c r="C297" s="2"/>
    </row>
    <row r="298">
      <c r="C298" s="2"/>
    </row>
    <row r="299">
      <c r="C299" s="2"/>
    </row>
    <row r="300">
      <c r="C300" s="2"/>
    </row>
    <row r="301">
      <c r="C301" s="2"/>
    </row>
    <row r="302">
      <c r="C302" s="2"/>
    </row>
    <row r="303">
      <c r="C303" s="2"/>
    </row>
    <row r="304">
      <c r="C304" s="2"/>
    </row>
    <row r="305">
      <c r="C305" s="2"/>
    </row>
    <row r="306">
      <c r="C306" s="2"/>
    </row>
    <row r="307">
      <c r="C307" s="2"/>
    </row>
    <row r="308">
      <c r="C308" s="2"/>
    </row>
    <row r="309">
      <c r="C309" s="2"/>
    </row>
    <row r="310">
      <c r="C310" s="2"/>
    </row>
    <row r="311">
      <c r="C311" s="2"/>
    </row>
    <row r="312">
      <c r="C312" s="2"/>
    </row>
    <row r="313">
      <c r="C313" s="2"/>
    </row>
    <row r="314">
      <c r="C314" s="2"/>
    </row>
    <row r="315">
      <c r="C315" s="2"/>
    </row>
    <row r="316">
      <c r="C316" s="2"/>
    </row>
    <row r="317">
      <c r="C317" s="2"/>
    </row>
    <row r="318">
      <c r="C318" s="2"/>
    </row>
    <row r="319">
      <c r="C319" s="2"/>
    </row>
    <row r="320">
      <c r="C320" s="2"/>
    </row>
    <row r="321">
      <c r="C321" s="2"/>
    </row>
    <row r="322">
      <c r="C322" s="2"/>
    </row>
    <row r="323">
      <c r="C323" s="2"/>
    </row>
    <row r="324">
      <c r="C324" s="2"/>
    </row>
    <row r="325">
      <c r="C325" s="2"/>
    </row>
    <row r="326">
      <c r="C326" s="2"/>
    </row>
    <row r="327">
      <c r="C327" s="2"/>
    </row>
    <row r="328">
      <c r="C328" s="2"/>
    </row>
    <row r="329">
      <c r="C329" s="2"/>
    </row>
    <row r="330">
      <c r="C330" s="2"/>
    </row>
    <row r="331">
      <c r="C331" s="2"/>
    </row>
    <row r="332">
      <c r="C332" s="2"/>
    </row>
    <row r="333">
      <c r="C333" s="2"/>
    </row>
    <row r="334">
      <c r="C334" s="2"/>
    </row>
    <row r="335">
      <c r="C335" s="2"/>
    </row>
    <row r="336">
      <c r="C336" s="2"/>
    </row>
    <row r="337">
      <c r="C337" s="2"/>
    </row>
    <row r="338">
      <c r="C338" s="2"/>
    </row>
    <row r="339">
      <c r="C339" s="2"/>
    </row>
    <row r="340">
      <c r="C340" s="2"/>
    </row>
    <row r="341">
      <c r="C341" s="2"/>
    </row>
    <row r="342">
      <c r="C342" s="2"/>
    </row>
    <row r="343">
      <c r="C343" s="2"/>
    </row>
    <row r="344">
      <c r="C344" s="2"/>
    </row>
    <row r="345">
      <c r="C345" s="2"/>
    </row>
    <row r="346">
      <c r="C346" s="2"/>
    </row>
    <row r="347">
      <c r="C347" s="2"/>
    </row>
    <row r="348">
      <c r="C348" s="2"/>
    </row>
    <row r="349">
      <c r="C349" s="2"/>
    </row>
    <row r="350">
      <c r="C350" s="2"/>
    </row>
    <row r="351">
      <c r="C351" s="2"/>
    </row>
    <row r="352">
      <c r="C352" s="2"/>
    </row>
    <row r="353">
      <c r="C353" s="2"/>
    </row>
    <row r="354">
      <c r="C354" s="2"/>
    </row>
    <row r="355">
      <c r="C355" s="2"/>
    </row>
    <row r="356">
      <c r="C356" s="2"/>
    </row>
    <row r="357">
      <c r="C357" s="2"/>
    </row>
    <row r="358">
      <c r="C358" s="2"/>
    </row>
    <row r="359">
      <c r="C359" s="2"/>
    </row>
    <row r="360">
      <c r="C360" s="2"/>
    </row>
    <row r="361">
      <c r="C361" s="2"/>
    </row>
    <row r="362">
      <c r="C362" s="2"/>
    </row>
    <row r="363">
      <c r="C363" s="2"/>
    </row>
    <row r="364">
      <c r="C364" s="2"/>
    </row>
    <row r="365">
      <c r="C365" s="2"/>
    </row>
    <row r="366">
      <c r="C366" s="2"/>
    </row>
    <row r="367">
      <c r="C367" s="2"/>
    </row>
    <row r="368">
      <c r="C368" s="2"/>
    </row>
    <row r="369">
      <c r="C369" s="2"/>
    </row>
    <row r="370">
      <c r="C370" s="2"/>
    </row>
    <row r="371">
      <c r="C371" s="2"/>
    </row>
    <row r="372">
      <c r="C372" s="2"/>
    </row>
    <row r="373">
      <c r="C373" s="2"/>
    </row>
    <row r="374">
      <c r="C374" s="2"/>
    </row>
    <row r="375">
      <c r="C375" s="2"/>
    </row>
    <row r="376">
      <c r="C376" s="2"/>
    </row>
    <row r="377">
      <c r="C377" s="2"/>
    </row>
    <row r="378">
      <c r="C378" s="2"/>
    </row>
    <row r="379">
      <c r="C379" s="2"/>
    </row>
    <row r="380">
      <c r="C380" s="2"/>
    </row>
    <row r="381">
      <c r="C381" s="2"/>
    </row>
    <row r="382">
      <c r="C382" s="2"/>
    </row>
    <row r="383">
      <c r="C383" s="2"/>
    </row>
    <row r="384">
      <c r="C384" s="2"/>
    </row>
    <row r="385">
      <c r="C385" s="2"/>
    </row>
    <row r="386">
      <c r="C386" s="2"/>
    </row>
    <row r="387">
      <c r="C387" s="2"/>
    </row>
    <row r="388">
      <c r="C388" s="2"/>
    </row>
    <row r="389">
      <c r="C389" s="2"/>
    </row>
    <row r="390">
      <c r="C390" s="2"/>
    </row>
    <row r="391">
      <c r="C391" s="2"/>
    </row>
    <row r="392">
      <c r="C392" s="2"/>
    </row>
    <row r="393">
      <c r="C393" s="2"/>
    </row>
    <row r="394">
      <c r="C394" s="2"/>
    </row>
    <row r="395">
      <c r="C395" s="2"/>
    </row>
    <row r="396">
      <c r="C396" s="2"/>
    </row>
    <row r="397">
      <c r="C397" s="2"/>
    </row>
    <row r="398">
      <c r="C398" s="2"/>
    </row>
    <row r="399">
      <c r="C399" s="2"/>
    </row>
    <row r="400">
      <c r="C400" s="2"/>
    </row>
    <row r="401">
      <c r="C401" s="2"/>
    </row>
    <row r="402">
      <c r="C402" s="2"/>
    </row>
    <row r="403">
      <c r="C403" s="2"/>
    </row>
    <row r="404">
      <c r="C404" s="2"/>
    </row>
    <row r="405">
      <c r="C405" s="2"/>
    </row>
    <row r="406">
      <c r="C406" s="2"/>
    </row>
    <row r="407">
      <c r="C407" s="2"/>
    </row>
    <row r="408">
      <c r="C408" s="2"/>
    </row>
    <row r="409">
      <c r="C409" s="2"/>
    </row>
    <row r="410">
      <c r="C410" s="2"/>
    </row>
    <row r="411">
      <c r="C411" s="2"/>
    </row>
    <row r="412">
      <c r="C412" s="2"/>
    </row>
    <row r="413">
      <c r="C413" s="2"/>
    </row>
    <row r="414">
      <c r="C414" s="2"/>
    </row>
    <row r="415">
      <c r="C415" s="2"/>
    </row>
    <row r="416">
      <c r="C416" s="2"/>
    </row>
    <row r="417">
      <c r="C417" s="2"/>
    </row>
    <row r="418">
      <c r="C418" s="2"/>
    </row>
    <row r="419">
      <c r="C419" s="2"/>
    </row>
    <row r="420">
      <c r="C420" s="2"/>
    </row>
    <row r="421">
      <c r="C421" s="2"/>
    </row>
    <row r="422">
      <c r="C422" s="2"/>
    </row>
    <row r="423">
      <c r="C423" s="2"/>
    </row>
    <row r="424">
      <c r="C424" s="2"/>
    </row>
    <row r="425">
      <c r="C425" s="2"/>
    </row>
    <row r="426">
      <c r="C426" s="2"/>
    </row>
    <row r="427">
      <c r="C427" s="2"/>
    </row>
    <row r="428">
      <c r="C428" s="2"/>
    </row>
    <row r="429">
      <c r="C429" s="2"/>
    </row>
    <row r="430">
      <c r="C430" s="2"/>
    </row>
    <row r="431">
      <c r="C431" s="2"/>
    </row>
    <row r="432">
      <c r="C432" s="2"/>
    </row>
    <row r="433">
      <c r="C433" s="2"/>
    </row>
    <row r="434">
      <c r="C434" s="2"/>
    </row>
    <row r="435">
      <c r="C435" s="2"/>
    </row>
    <row r="436">
      <c r="C436" s="2"/>
    </row>
    <row r="437">
      <c r="C437" s="2"/>
    </row>
    <row r="438">
      <c r="C438" s="2"/>
    </row>
    <row r="439">
      <c r="C439" s="2"/>
    </row>
    <row r="440">
      <c r="C440" s="2"/>
    </row>
    <row r="441">
      <c r="C441" s="2"/>
    </row>
    <row r="442">
      <c r="C442" s="2"/>
    </row>
    <row r="443">
      <c r="C443" s="2"/>
    </row>
    <row r="444">
      <c r="C444" s="2"/>
    </row>
    <row r="445">
      <c r="C445" s="2"/>
    </row>
    <row r="446">
      <c r="C446" s="2"/>
    </row>
    <row r="447">
      <c r="C447" s="2"/>
    </row>
    <row r="448">
      <c r="C448" s="2"/>
    </row>
    <row r="449">
      <c r="C449" s="2"/>
    </row>
    <row r="450">
      <c r="C450" s="2"/>
    </row>
    <row r="451">
      <c r="C451" s="2"/>
    </row>
    <row r="452">
      <c r="C452" s="2"/>
    </row>
    <row r="453">
      <c r="C453" s="2"/>
    </row>
    <row r="454">
      <c r="C454" s="2"/>
    </row>
    <row r="455">
      <c r="C455" s="2"/>
    </row>
    <row r="456">
      <c r="C456" s="2"/>
    </row>
    <row r="457">
      <c r="C457" s="2"/>
    </row>
    <row r="458">
      <c r="C458" s="2"/>
    </row>
    <row r="459">
      <c r="C459" s="2"/>
    </row>
    <row r="460">
      <c r="C460" s="2"/>
    </row>
    <row r="461">
      <c r="C461" s="2"/>
    </row>
    <row r="462">
      <c r="C462" s="2"/>
    </row>
    <row r="463">
      <c r="C463" s="2"/>
    </row>
    <row r="464">
      <c r="C464" s="2"/>
    </row>
    <row r="465">
      <c r="C465" s="2"/>
    </row>
    <row r="466">
      <c r="C466" s="2"/>
    </row>
    <row r="467">
      <c r="C467" s="2"/>
    </row>
    <row r="468">
      <c r="C468" s="2"/>
    </row>
    <row r="469">
      <c r="C469" s="2"/>
    </row>
    <row r="470">
      <c r="C470" s="2"/>
    </row>
    <row r="471">
      <c r="C471" s="2"/>
    </row>
    <row r="472">
      <c r="C472" s="2"/>
    </row>
    <row r="473">
      <c r="C473" s="2"/>
    </row>
    <row r="474">
      <c r="C474" s="2"/>
    </row>
    <row r="475">
      <c r="C475" s="2"/>
    </row>
    <row r="476">
      <c r="C476" s="2"/>
    </row>
    <row r="477">
      <c r="C477" s="2"/>
    </row>
    <row r="478">
      <c r="C478" s="2"/>
    </row>
    <row r="479">
      <c r="C479" s="2"/>
    </row>
    <row r="480">
      <c r="C480" s="2"/>
    </row>
    <row r="481">
      <c r="C481" s="2"/>
    </row>
    <row r="482">
      <c r="C482" s="2"/>
    </row>
    <row r="483">
      <c r="C483" s="2"/>
    </row>
    <row r="484">
      <c r="C484" s="2"/>
    </row>
    <row r="485">
      <c r="C485" s="2"/>
    </row>
    <row r="486">
      <c r="C486" s="2"/>
    </row>
    <row r="487">
      <c r="C487" s="2"/>
    </row>
    <row r="488">
      <c r="C488" s="2"/>
    </row>
    <row r="489">
      <c r="C489" s="2"/>
    </row>
    <row r="490">
      <c r="C490" s="2"/>
    </row>
    <row r="491">
      <c r="C491" s="2"/>
    </row>
    <row r="492">
      <c r="C492" s="2"/>
    </row>
    <row r="493">
      <c r="C493" s="2"/>
    </row>
    <row r="494">
      <c r="C494" s="2"/>
    </row>
    <row r="495">
      <c r="C495" s="2"/>
    </row>
    <row r="496">
      <c r="C496" s="2"/>
    </row>
    <row r="497">
      <c r="C497" s="2"/>
    </row>
    <row r="498">
      <c r="C498" s="2"/>
    </row>
    <row r="499">
      <c r="C499" s="2"/>
    </row>
    <row r="500">
      <c r="C500" s="2"/>
    </row>
    <row r="501">
      <c r="C501" s="2"/>
    </row>
    <row r="502">
      <c r="C502" s="2"/>
    </row>
    <row r="503">
      <c r="C503" s="2"/>
    </row>
    <row r="504">
      <c r="C504" s="2"/>
    </row>
    <row r="505">
      <c r="C505" s="2"/>
    </row>
    <row r="506">
      <c r="C506" s="2"/>
    </row>
    <row r="507">
      <c r="C507" s="2"/>
    </row>
    <row r="508">
      <c r="C508" s="2"/>
    </row>
    <row r="509">
      <c r="C509" s="2"/>
    </row>
    <row r="510">
      <c r="C510" s="2"/>
    </row>
    <row r="511">
      <c r="C511" s="2"/>
    </row>
    <row r="512">
      <c r="C512" s="2"/>
    </row>
    <row r="513">
      <c r="C513" s="2"/>
    </row>
    <row r="514">
      <c r="C514" s="2"/>
    </row>
    <row r="515">
      <c r="C515" s="2"/>
    </row>
    <row r="516">
      <c r="C516" s="2"/>
    </row>
    <row r="517">
      <c r="C517" s="2"/>
    </row>
    <row r="518">
      <c r="C518" s="2"/>
    </row>
    <row r="519">
      <c r="C519" s="2"/>
    </row>
    <row r="520">
      <c r="C520" s="2"/>
    </row>
    <row r="521">
      <c r="C521" s="2"/>
    </row>
    <row r="522">
      <c r="C522" s="2"/>
    </row>
    <row r="523">
      <c r="C523" s="2"/>
    </row>
    <row r="524">
      <c r="C524" s="2"/>
    </row>
    <row r="525">
      <c r="C525" s="2"/>
    </row>
    <row r="526">
      <c r="C526" s="2"/>
    </row>
    <row r="527">
      <c r="C527" s="2"/>
    </row>
    <row r="528">
      <c r="C528" s="2"/>
    </row>
    <row r="529">
      <c r="C529" s="2"/>
    </row>
    <row r="530">
      <c r="C530" s="2"/>
    </row>
    <row r="531">
      <c r="C531" s="2"/>
    </row>
    <row r="532">
      <c r="C532" s="2"/>
    </row>
    <row r="533">
      <c r="C533" s="2"/>
    </row>
    <row r="534">
      <c r="C534" s="2"/>
    </row>
    <row r="535">
      <c r="C535" s="2"/>
    </row>
    <row r="536">
      <c r="C536" s="2"/>
    </row>
    <row r="537">
      <c r="C537" s="2"/>
    </row>
    <row r="538">
      <c r="C538" s="2"/>
    </row>
    <row r="539">
      <c r="C539" s="2"/>
    </row>
    <row r="540">
      <c r="C540" s="2"/>
    </row>
    <row r="541">
      <c r="C541" s="2"/>
    </row>
    <row r="542">
      <c r="C542" s="2"/>
    </row>
    <row r="543">
      <c r="C543" s="2"/>
    </row>
    <row r="544">
      <c r="C544" s="2"/>
    </row>
    <row r="545">
      <c r="C545" s="2"/>
    </row>
    <row r="546">
      <c r="C546" s="2"/>
    </row>
    <row r="547">
      <c r="C547" s="2"/>
    </row>
    <row r="548">
      <c r="C548" s="2"/>
    </row>
    <row r="549">
      <c r="C549" s="2"/>
    </row>
    <row r="550">
      <c r="C550" s="2"/>
    </row>
    <row r="551">
      <c r="C551" s="2"/>
    </row>
    <row r="552">
      <c r="C552" s="2"/>
    </row>
    <row r="553">
      <c r="C553" s="2"/>
    </row>
    <row r="554">
      <c r="C554" s="2"/>
    </row>
    <row r="555">
      <c r="C555" s="2"/>
    </row>
    <row r="556">
      <c r="C556" s="2"/>
    </row>
    <row r="557">
      <c r="C557" s="2"/>
    </row>
    <row r="558">
      <c r="C558" s="2"/>
    </row>
    <row r="559">
      <c r="C559" s="2"/>
    </row>
    <row r="560">
      <c r="C560" s="2"/>
    </row>
    <row r="561">
      <c r="C561" s="2"/>
    </row>
    <row r="562">
      <c r="C562" s="2"/>
    </row>
    <row r="563">
      <c r="C563" s="2"/>
    </row>
    <row r="564">
      <c r="C564" s="2"/>
    </row>
    <row r="565">
      <c r="C565" s="2"/>
    </row>
    <row r="566">
      <c r="C566" s="2"/>
    </row>
    <row r="567">
      <c r="C567" s="2"/>
    </row>
    <row r="568">
      <c r="C568" s="2"/>
    </row>
    <row r="569">
      <c r="C569" s="2"/>
    </row>
    <row r="570">
      <c r="C570" s="2"/>
    </row>
    <row r="571">
      <c r="C571" s="2"/>
    </row>
    <row r="572">
      <c r="C572" s="2"/>
    </row>
    <row r="573">
      <c r="C573" s="2"/>
    </row>
    <row r="574">
      <c r="C574" s="2"/>
    </row>
    <row r="575">
      <c r="C575" s="2"/>
    </row>
    <row r="576">
      <c r="C576" s="2"/>
    </row>
    <row r="577">
      <c r="C577" s="2"/>
    </row>
    <row r="578">
      <c r="C578" s="2"/>
    </row>
    <row r="579">
      <c r="C579" s="2"/>
    </row>
    <row r="580">
      <c r="C580" s="2"/>
    </row>
    <row r="581">
      <c r="C581" s="2"/>
    </row>
    <row r="582">
      <c r="C582" s="2"/>
    </row>
    <row r="583">
      <c r="C583" s="2"/>
    </row>
    <row r="584">
      <c r="C584" s="2"/>
    </row>
    <row r="585">
      <c r="C585" s="2"/>
    </row>
    <row r="586">
      <c r="C586" s="2"/>
    </row>
    <row r="587">
      <c r="C587" s="2"/>
    </row>
    <row r="588">
      <c r="C588" s="2"/>
    </row>
    <row r="589">
      <c r="C589" s="2"/>
    </row>
    <row r="590">
      <c r="C590" s="2"/>
    </row>
    <row r="591">
      <c r="C591" s="2"/>
    </row>
    <row r="592">
      <c r="C592" s="2"/>
    </row>
    <row r="593">
      <c r="C593" s="2"/>
    </row>
    <row r="594">
      <c r="C594" s="2"/>
    </row>
    <row r="595">
      <c r="C595" s="2"/>
    </row>
    <row r="596">
      <c r="C596" s="2"/>
    </row>
    <row r="597">
      <c r="C597" s="2"/>
    </row>
    <row r="598">
      <c r="C598" s="2"/>
    </row>
    <row r="599">
      <c r="C599" s="2"/>
    </row>
    <row r="600">
      <c r="C600" s="2"/>
    </row>
    <row r="601">
      <c r="C601" s="2"/>
    </row>
    <row r="602">
      <c r="C602" s="2"/>
    </row>
    <row r="603">
      <c r="C603" s="2"/>
    </row>
    <row r="604">
      <c r="C604" s="2"/>
    </row>
    <row r="605">
      <c r="C605" s="2"/>
    </row>
    <row r="606">
      <c r="C606" s="2"/>
    </row>
    <row r="607">
      <c r="C607" s="2"/>
    </row>
    <row r="608">
      <c r="C608" s="2"/>
    </row>
    <row r="609">
      <c r="C609" s="2"/>
    </row>
    <row r="610">
      <c r="C610" s="2"/>
    </row>
    <row r="611">
      <c r="C611" s="2"/>
    </row>
    <row r="612">
      <c r="C612" s="2"/>
    </row>
    <row r="613">
      <c r="C613" s="2"/>
    </row>
    <row r="614">
      <c r="C614" s="2"/>
    </row>
    <row r="615">
      <c r="C615" s="2"/>
    </row>
    <row r="616">
      <c r="C616" s="2"/>
    </row>
    <row r="617">
      <c r="C617" s="2"/>
    </row>
    <row r="618">
      <c r="C618" s="2"/>
    </row>
    <row r="619">
      <c r="C619" s="2"/>
    </row>
    <row r="620">
      <c r="C620" s="2"/>
    </row>
    <row r="621">
      <c r="C621" s="2"/>
    </row>
    <row r="622">
      <c r="C622" s="2"/>
    </row>
    <row r="623">
      <c r="C623" s="2"/>
    </row>
    <row r="624">
      <c r="C624" s="2"/>
    </row>
    <row r="625">
      <c r="C625" s="2"/>
    </row>
    <row r="626">
      <c r="C626" s="2"/>
    </row>
    <row r="627">
      <c r="C627" s="2"/>
    </row>
    <row r="628">
      <c r="C628" s="2"/>
    </row>
    <row r="629">
      <c r="C629" s="2"/>
    </row>
    <row r="630">
      <c r="C630" s="2"/>
    </row>
    <row r="631">
      <c r="C631" s="2"/>
    </row>
    <row r="632">
      <c r="C632" s="2"/>
    </row>
    <row r="633">
      <c r="C633" s="2"/>
    </row>
    <row r="634">
      <c r="C634" s="2"/>
    </row>
    <row r="635">
      <c r="C635" s="2"/>
    </row>
    <row r="636">
      <c r="C636" s="2"/>
    </row>
    <row r="637">
      <c r="C637" s="2"/>
    </row>
    <row r="638">
      <c r="C638" s="2"/>
    </row>
    <row r="639">
      <c r="C639" s="2"/>
    </row>
    <row r="640">
      <c r="C640" s="2"/>
    </row>
    <row r="641">
      <c r="C641" s="2"/>
    </row>
    <row r="642">
      <c r="C642" s="2"/>
    </row>
    <row r="643">
      <c r="C643" s="2"/>
    </row>
    <row r="644">
      <c r="C644" s="2"/>
    </row>
    <row r="645">
      <c r="C645" s="2"/>
    </row>
    <row r="646">
      <c r="C646" s="2"/>
    </row>
    <row r="647">
      <c r="C647" s="2"/>
    </row>
    <row r="648">
      <c r="C648" s="2"/>
    </row>
    <row r="649">
      <c r="C649" s="2"/>
    </row>
    <row r="650">
      <c r="C650" s="2"/>
    </row>
    <row r="651">
      <c r="C651" s="2"/>
    </row>
    <row r="652">
      <c r="C652" s="2"/>
    </row>
    <row r="653">
      <c r="C653" s="2"/>
    </row>
    <row r="654">
      <c r="C654" s="2"/>
    </row>
    <row r="655">
      <c r="C655" s="2"/>
    </row>
    <row r="656">
      <c r="C656" s="2"/>
    </row>
    <row r="657">
      <c r="C657" s="2"/>
    </row>
    <row r="658">
      <c r="C658" s="2"/>
    </row>
    <row r="659">
      <c r="C659" s="2"/>
    </row>
    <row r="660">
      <c r="C660" s="2"/>
    </row>
    <row r="661">
      <c r="C661" s="2"/>
    </row>
    <row r="662">
      <c r="C662" s="2"/>
    </row>
    <row r="663">
      <c r="C663" s="2"/>
    </row>
    <row r="664">
      <c r="C664" s="2"/>
    </row>
    <row r="665">
      <c r="C665" s="2"/>
    </row>
    <row r="666">
      <c r="C666" s="2"/>
    </row>
    <row r="667">
      <c r="C667" s="2"/>
    </row>
    <row r="668">
      <c r="C668" s="2"/>
    </row>
    <row r="669">
      <c r="C669" s="2"/>
    </row>
    <row r="670">
      <c r="C670" s="2"/>
    </row>
    <row r="671">
      <c r="C671" s="2"/>
    </row>
    <row r="672">
      <c r="C672" s="2"/>
    </row>
    <row r="673">
      <c r="C673" s="2"/>
    </row>
    <row r="674">
      <c r="C674" s="2"/>
    </row>
    <row r="675">
      <c r="C675" s="2"/>
    </row>
    <row r="676">
      <c r="C676" s="2"/>
    </row>
    <row r="677">
      <c r="C677" s="2"/>
    </row>
    <row r="678">
      <c r="C678" s="2"/>
    </row>
    <row r="679">
      <c r="C679" s="2"/>
    </row>
    <row r="680">
      <c r="C680" s="2"/>
    </row>
    <row r="681">
      <c r="C681" s="2"/>
    </row>
    <row r="682">
      <c r="C682" s="2"/>
    </row>
    <row r="683">
      <c r="C683" s="2"/>
    </row>
    <row r="684">
      <c r="C684" s="2"/>
    </row>
    <row r="685">
      <c r="C685" s="2"/>
    </row>
    <row r="686">
      <c r="C686" s="2"/>
    </row>
    <row r="687">
      <c r="C687" s="2"/>
    </row>
    <row r="688">
      <c r="C688" s="2"/>
    </row>
    <row r="689">
      <c r="C689" s="2"/>
    </row>
    <row r="690">
      <c r="C690" s="2"/>
    </row>
    <row r="691">
      <c r="C691" s="2"/>
    </row>
    <row r="692">
      <c r="C692" s="2"/>
    </row>
    <row r="693">
      <c r="C693" s="2"/>
    </row>
    <row r="694">
      <c r="C694" s="2"/>
    </row>
    <row r="695">
      <c r="C695" s="2"/>
    </row>
    <row r="696">
      <c r="C696" s="2"/>
    </row>
    <row r="697">
      <c r="C697" s="2"/>
    </row>
    <row r="698">
      <c r="C698" s="2"/>
    </row>
    <row r="699">
      <c r="C699" s="2"/>
    </row>
    <row r="700">
      <c r="C700" s="2"/>
    </row>
    <row r="701">
      <c r="C701" s="2"/>
    </row>
    <row r="702">
      <c r="C702" s="2"/>
    </row>
    <row r="703">
      <c r="C703" s="2"/>
    </row>
    <row r="704">
      <c r="C704" s="2"/>
    </row>
    <row r="705">
      <c r="C705" s="2"/>
    </row>
    <row r="706">
      <c r="C706" s="2"/>
    </row>
    <row r="707">
      <c r="C707" s="2"/>
    </row>
    <row r="708">
      <c r="C708" s="2"/>
    </row>
    <row r="709">
      <c r="C709" s="2"/>
    </row>
    <row r="710">
      <c r="C710" s="2"/>
    </row>
    <row r="711">
      <c r="C711" s="2"/>
    </row>
    <row r="712">
      <c r="C712" s="2"/>
    </row>
    <row r="713">
      <c r="C713" s="2"/>
    </row>
    <row r="714">
      <c r="C714" s="2"/>
    </row>
    <row r="715">
      <c r="C715" s="2"/>
    </row>
    <row r="716">
      <c r="C716" s="2"/>
    </row>
    <row r="717">
      <c r="C717" s="2"/>
    </row>
    <row r="718">
      <c r="C718" s="2"/>
    </row>
    <row r="719">
      <c r="C719" s="2"/>
    </row>
    <row r="720">
      <c r="C720" s="2"/>
    </row>
    <row r="721">
      <c r="C721" s="2"/>
    </row>
    <row r="722">
      <c r="C722" s="2"/>
    </row>
    <row r="723">
      <c r="C723" s="2"/>
    </row>
    <row r="724">
      <c r="C724" s="2"/>
    </row>
    <row r="725">
      <c r="C725" s="2"/>
    </row>
    <row r="726">
      <c r="C726" s="2"/>
    </row>
    <row r="727">
      <c r="C727" s="2"/>
    </row>
    <row r="728">
      <c r="C728" s="2"/>
    </row>
    <row r="729">
      <c r="C729" s="2"/>
    </row>
    <row r="730">
      <c r="C730" s="2"/>
    </row>
    <row r="731">
      <c r="C731" s="2"/>
    </row>
    <row r="732">
      <c r="C732" s="2"/>
    </row>
    <row r="733">
      <c r="C733" s="2"/>
    </row>
    <row r="734">
      <c r="C734" s="2"/>
    </row>
    <row r="735">
      <c r="C735" s="2"/>
    </row>
    <row r="736">
      <c r="C736" s="2"/>
    </row>
    <row r="737">
      <c r="C737" s="2"/>
    </row>
    <row r="738">
      <c r="C738" s="2"/>
    </row>
    <row r="739">
      <c r="C739" s="2"/>
    </row>
    <row r="740">
      <c r="C740" s="2"/>
    </row>
    <row r="741">
      <c r="C741" s="2"/>
    </row>
    <row r="742">
      <c r="C742" s="2"/>
    </row>
    <row r="743">
      <c r="C743" s="2"/>
    </row>
    <row r="744">
      <c r="C744" s="2"/>
    </row>
    <row r="745">
      <c r="C745" s="2"/>
    </row>
    <row r="746">
      <c r="C746" s="2"/>
    </row>
    <row r="747">
      <c r="C747" s="2"/>
    </row>
    <row r="748">
      <c r="C748" s="2"/>
    </row>
    <row r="749">
      <c r="C749" s="2"/>
    </row>
    <row r="750">
      <c r="C750" s="2"/>
    </row>
    <row r="751">
      <c r="C751" s="2"/>
    </row>
    <row r="752">
      <c r="C752" s="2"/>
    </row>
    <row r="753">
      <c r="C753" s="2"/>
    </row>
    <row r="754">
      <c r="C754" s="2"/>
    </row>
    <row r="755">
      <c r="C755" s="2"/>
    </row>
    <row r="756">
      <c r="C756" s="2"/>
    </row>
    <row r="757">
      <c r="C757" s="2"/>
    </row>
    <row r="758">
      <c r="C758" s="2"/>
    </row>
    <row r="759">
      <c r="C759" s="2"/>
    </row>
    <row r="760">
      <c r="C760" s="2"/>
    </row>
    <row r="761">
      <c r="C761" s="2"/>
    </row>
    <row r="762">
      <c r="C762" s="2"/>
    </row>
    <row r="763">
      <c r="C763" s="2"/>
    </row>
    <row r="764">
      <c r="C764" s="2"/>
    </row>
    <row r="765">
      <c r="C765" s="2"/>
    </row>
    <row r="766">
      <c r="C766" s="2"/>
    </row>
    <row r="767">
      <c r="C767" s="2"/>
    </row>
    <row r="768">
      <c r="C768" s="2"/>
    </row>
    <row r="769">
      <c r="C769" s="2"/>
    </row>
    <row r="770">
      <c r="C770" s="2"/>
    </row>
    <row r="771">
      <c r="C771" s="2"/>
    </row>
    <row r="772">
      <c r="C772" s="2"/>
    </row>
    <row r="773">
      <c r="C773" s="2"/>
    </row>
    <row r="774">
      <c r="C774" s="2"/>
    </row>
    <row r="775">
      <c r="C775" s="2"/>
    </row>
    <row r="776">
      <c r="C776" s="2"/>
    </row>
    <row r="777">
      <c r="C777" s="2"/>
    </row>
    <row r="778">
      <c r="C778" s="2"/>
    </row>
    <row r="779">
      <c r="C779" s="2"/>
    </row>
    <row r="780">
      <c r="C780" s="2"/>
    </row>
    <row r="781">
      <c r="C781" s="2"/>
    </row>
    <row r="782">
      <c r="C782" s="2"/>
    </row>
    <row r="783">
      <c r="C783" s="2"/>
    </row>
    <row r="784">
      <c r="C784" s="2"/>
    </row>
    <row r="785">
      <c r="C785" s="2"/>
    </row>
    <row r="786">
      <c r="C786" s="2"/>
    </row>
    <row r="787">
      <c r="C787" s="2"/>
    </row>
    <row r="788">
      <c r="C788" s="2"/>
    </row>
    <row r="789">
      <c r="C789" s="2"/>
    </row>
    <row r="790">
      <c r="C790" s="2"/>
    </row>
    <row r="791">
      <c r="C791" s="2"/>
    </row>
    <row r="792">
      <c r="C792" s="2"/>
    </row>
    <row r="793">
      <c r="C793" s="2"/>
    </row>
    <row r="794">
      <c r="C794" s="2"/>
    </row>
    <row r="795">
      <c r="C795" s="2"/>
    </row>
    <row r="796">
      <c r="C796" s="2"/>
    </row>
    <row r="797">
      <c r="C797" s="2"/>
    </row>
    <row r="798">
      <c r="C798" s="2"/>
    </row>
    <row r="799">
      <c r="C799" s="2"/>
    </row>
    <row r="800">
      <c r="C800" s="2"/>
    </row>
    <row r="801">
      <c r="C801" s="2"/>
    </row>
    <row r="802">
      <c r="C802" s="2"/>
    </row>
    <row r="803">
      <c r="C803" s="2"/>
    </row>
    <row r="804">
      <c r="C804" s="2"/>
    </row>
    <row r="805">
      <c r="C805" s="2"/>
    </row>
    <row r="806">
      <c r="C806" s="2"/>
    </row>
    <row r="807">
      <c r="C807" s="2"/>
    </row>
    <row r="808">
      <c r="C808" s="2"/>
    </row>
    <row r="809">
      <c r="C809" s="2"/>
    </row>
    <row r="810">
      <c r="C810" s="2"/>
    </row>
    <row r="811">
      <c r="C811" s="2"/>
    </row>
    <row r="812">
      <c r="C812" s="2"/>
    </row>
    <row r="813">
      <c r="C813" s="2"/>
    </row>
    <row r="814">
      <c r="C814" s="2"/>
    </row>
    <row r="815">
      <c r="C815" s="2"/>
    </row>
    <row r="816">
      <c r="C816" s="2"/>
    </row>
    <row r="817">
      <c r="C817" s="2"/>
    </row>
    <row r="818">
      <c r="C818" s="2"/>
    </row>
    <row r="819">
      <c r="C819" s="2"/>
    </row>
    <row r="820">
      <c r="C820" s="2"/>
    </row>
    <row r="821">
      <c r="C821" s="2"/>
    </row>
    <row r="822">
      <c r="C822" s="2"/>
    </row>
    <row r="823">
      <c r="C823" s="2"/>
    </row>
    <row r="824">
      <c r="C824" s="2"/>
    </row>
    <row r="825">
      <c r="C825" s="2"/>
    </row>
    <row r="826">
      <c r="C826" s="2"/>
    </row>
    <row r="827">
      <c r="C827" s="2"/>
    </row>
    <row r="828">
      <c r="C828" s="2"/>
    </row>
    <row r="829">
      <c r="C829" s="2"/>
    </row>
    <row r="830">
      <c r="C830" s="2"/>
    </row>
    <row r="831">
      <c r="C831" s="2"/>
    </row>
    <row r="832">
      <c r="C832" s="2"/>
    </row>
    <row r="833">
      <c r="C833" s="2"/>
    </row>
    <row r="834">
      <c r="C834" s="2"/>
    </row>
    <row r="835">
      <c r="C835" s="2"/>
    </row>
    <row r="836">
      <c r="C836" s="2"/>
    </row>
    <row r="837">
      <c r="C837" s="2"/>
    </row>
    <row r="838">
      <c r="C838" s="2"/>
    </row>
    <row r="839">
      <c r="C839" s="2"/>
    </row>
    <row r="840">
      <c r="C840" s="2"/>
    </row>
    <row r="841">
      <c r="C841" s="2"/>
    </row>
    <row r="842">
      <c r="C842" s="2"/>
    </row>
    <row r="843">
      <c r="C843" s="2"/>
    </row>
    <row r="844">
      <c r="C844" s="2"/>
    </row>
    <row r="845">
      <c r="C845" s="2"/>
    </row>
    <row r="846">
      <c r="C846" s="2"/>
    </row>
    <row r="847">
      <c r="C847" s="2"/>
    </row>
    <row r="848">
      <c r="C848" s="2"/>
    </row>
    <row r="849">
      <c r="C849" s="2"/>
    </row>
    <row r="850">
      <c r="C850" s="2"/>
    </row>
    <row r="851">
      <c r="C851" s="2"/>
    </row>
    <row r="852">
      <c r="C852" s="2"/>
    </row>
    <row r="853">
      <c r="C853" s="2"/>
    </row>
    <row r="854">
      <c r="C854" s="2"/>
    </row>
    <row r="855">
      <c r="C855" s="2"/>
    </row>
    <row r="856">
      <c r="C856" s="2"/>
    </row>
    <row r="857">
      <c r="C857" s="2"/>
    </row>
    <row r="858">
      <c r="C858" s="2"/>
    </row>
    <row r="859">
      <c r="C859" s="2"/>
    </row>
    <row r="860">
      <c r="C860" s="2"/>
    </row>
    <row r="861">
      <c r="C861" s="2"/>
    </row>
    <row r="862">
      <c r="C862" s="2"/>
    </row>
    <row r="863">
      <c r="C863" s="2"/>
    </row>
    <row r="864">
      <c r="C864" s="2"/>
    </row>
    <row r="865">
      <c r="C865" s="2"/>
    </row>
    <row r="866">
      <c r="C866" s="2"/>
    </row>
    <row r="867">
      <c r="C867" s="2"/>
    </row>
    <row r="868">
      <c r="C868" s="2"/>
    </row>
    <row r="869">
      <c r="C869" s="2"/>
    </row>
    <row r="870">
      <c r="C870" s="2"/>
    </row>
    <row r="871">
      <c r="C871" s="2"/>
    </row>
    <row r="872">
      <c r="C872" s="2"/>
    </row>
    <row r="873">
      <c r="C873" s="2"/>
    </row>
    <row r="874">
      <c r="C874" s="2"/>
    </row>
    <row r="875">
      <c r="C875" s="2"/>
    </row>
    <row r="876">
      <c r="C876" s="2"/>
    </row>
    <row r="877">
      <c r="C877" s="2"/>
    </row>
    <row r="878">
      <c r="C878" s="2"/>
    </row>
    <row r="879">
      <c r="C879" s="2"/>
    </row>
    <row r="880">
      <c r="C880" s="2"/>
    </row>
    <row r="881">
      <c r="C881" s="2"/>
    </row>
    <row r="882">
      <c r="C882" s="2"/>
    </row>
    <row r="883">
      <c r="C883" s="2"/>
    </row>
    <row r="884">
      <c r="C884" s="2"/>
    </row>
    <row r="885">
      <c r="C885" s="2"/>
    </row>
    <row r="886">
      <c r="C886" s="2"/>
    </row>
    <row r="887">
      <c r="C887" s="2"/>
    </row>
    <row r="888">
      <c r="C888" s="2"/>
    </row>
    <row r="889">
      <c r="C889" s="2"/>
    </row>
    <row r="890">
      <c r="C890" s="2"/>
    </row>
    <row r="891">
      <c r="C891" s="2"/>
    </row>
    <row r="892">
      <c r="C892" s="2"/>
    </row>
    <row r="893">
      <c r="C893" s="2"/>
    </row>
    <row r="894">
      <c r="C894" s="2"/>
    </row>
    <row r="895">
      <c r="C895" s="2"/>
    </row>
    <row r="896">
      <c r="C896" s="2"/>
    </row>
    <row r="897">
      <c r="C897" s="2"/>
    </row>
    <row r="898">
      <c r="C898" s="2"/>
    </row>
    <row r="899">
      <c r="C899" s="2"/>
    </row>
    <row r="900">
      <c r="C900" s="2"/>
    </row>
    <row r="901">
      <c r="C901" s="2"/>
    </row>
    <row r="902">
      <c r="C902" s="2"/>
    </row>
    <row r="903">
      <c r="C903" s="2"/>
    </row>
    <row r="904">
      <c r="C904" s="2"/>
    </row>
    <row r="905">
      <c r="C905" s="2"/>
    </row>
    <row r="906">
      <c r="C906" s="2"/>
    </row>
    <row r="907">
      <c r="C907" s="2"/>
    </row>
    <row r="908">
      <c r="C908" s="2"/>
    </row>
    <row r="909">
      <c r="C909" s="2"/>
    </row>
    <row r="910">
      <c r="C910" s="2"/>
    </row>
    <row r="911">
      <c r="C911" s="2"/>
    </row>
    <row r="912">
      <c r="C912" s="2"/>
    </row>
    <row r="913">
      <c r="C913" s="2"/>
    </row>
    <row r="914">
      <c r="C914" s="2"/>
    </row>
    <row r="915">
      <c r="C915" s="2"/>
    </row>
    <row r="916">
      <c r="C916" s="2"/>
    </row>
    <row r="917">
      <c r="C917" s="2"/>
    </row>
    <row r="918">
      <c r="C918" s="2"/>
    </row>
    <row r="919">
      <c r="C919" s="2"/>
    </row>
    <row r="920">
      <c r="C920" s="2"/>
    </row>
    <row r="921">
      <c r="C921" s="2"/>
    </row>
    <row r="922">
      <c r="C922" s="2"/>
    </row>
    <row r="923">
      <c r="C923" s="2"/>
    </row>
    <row r="924">
      <c r="C924" s="2"/>
    </row>
    <row r="925">
      <c r="C925" s="2"/>
    </row>
    <row r="926">
      <c r="C926" s="2"/>
    </row>
    <row r="927">
      <c r="C927" s="2"/>
    </row>
    <row r="928">
      <c r="C928" s="2"/>
    </row>
    <row r="929">
      <c r="C929" s="2"/>
    </row>
    <row r="930">
      <c r="C930" s="2"/>
    </row>
    <row r="931">
      <c r="C931" s="2"/>
    </row>
    <row r="932">
      <c r="C932" s="2"/>
    </row>
    <row r="933">
      <c r="C933" s="2"/>
    </row>
    <row r="934">
      <c r="C934" s="2"/>
    </row>
    <row r="935">
      <c r="C935" s="2"/>
    </row>
    <row r="936">
      <c r="C936" s="2"/>
    </row>
    <row r="937">
      <c r="C937" s="2"/>
    </row>
    <row r="938">
      <c r="C938" s="2"/>
    </row>
    <row r="939">
      <c r="C939" s="2"/>
    </row>
    <row r="940">
      <c r="C940" s="2"/>
    </row>
    <row r="941">
      <c r="C941" s="2"/>
    </row>
    <row r="942">
      <c r="C942" s="2"/>
    </row>
    <row r="943">
      <c r="C943" s="2"/>
    </row>
    <row r="944">
      <c r="C944" s="2"/>
    </row>
    <row r="945">
      <c r="C945" s="2"/>
    </row>
    <row r="946">
      <c r="C946" s="2"/>
    </row>
    <row r="947">
      <c r="C947" s="2"/>
    </row>
    <row r="948">
      <c r="C948" s="2"/>
    </row>
    <row r="949">
      <c r="C949" s="2"/>
    </row>
    <row r="950">
      <c r="C950" s="2"/>
    </row>
    <row r="951">
      <c r="C951" s="2"/>
    </row>
    <row r="952">
      <c r="C952" s="2"/>
    </row>
    <row r="953">
      <c r="C953" s="2"/>
    </row>
    <row r="954">
      <c r="C954" s="2"/>
    </row>
    <row r="955">
      <c r="C955" s="2"/>
    </row>
    <row r="956">
      <c r="C956" s="2"/>
    </row>
    <row r="957">
      <c r="C957" s="2"/>
    </row>
    <row r="958">
      <c r="C958" s="2"/>
    </row>
    <row r="959">
      <c r="C959" s="2"/>
    </row>
    <row r="960">
      <c r="C960" s="2"/>
    </row>
    <row r="961">
      <c r="C961" s="2"/>
    </row>
    <row r="962">
      <c r="C962" s="2"/>
    </row>
    <row r="963">
      <c r="C963" s="2"/>
    </row>
    <row r="964">
      <c r="C964" s="2"/>
    </row>
    <row r="965">
      <c r="C965" s="2"/>
    </row>
    <row r="966">
      <c r="C966" s="2"/>
    </row>
    <row r="967">
      <c r="C967" s="2"/>
    </row>
    <row r="968">
      <c r="C968" s="2"/>
    </row>
    <row r="969">
      <c r="C969" s="2"/>
    </row>
    <row r="970">
      <c r="C970" s="2"/>
    </row>
    <row r="971">
      <c r="C971" s="2"/>
    </row>
    <row r="972">
      <c r="C972" s="2"/>
    </row>
    <row r="973">
      <c r="C973" s="2"/>
    </row>
    <row r="974">
      <c r="C974" s="2"/>
    </row>
    <row r="975">
      <c r="C975" s="2"/>
    </row>
    <row r="976">
      <c r="C976" s="2"/>
    </row>
    <row r="977">
      <c r="C977" s="2"/>
    </row>
    <row r="978">
      <c r="C978" s="2"/>
    </row>
    <row r="979">
      <c r="C979" s="2"/>
    </row>
    <row r="980">
      <c r="C980" s="2"/>
    </row>
    <row r="981">
      <c r="C981" s="2"/>
    </row>
    <row r="982">
      <c r="C982" s="2"/>
    </row>
    <row r="983">
      <c r="C983" s="2"/>
    </row>
    <row r="984">
      <c r="C984" s="2"/>
    </row>
    <row r="985">
      <c r="C985" s="2"/>
    </row>
    <row r="986">
      <c r="C986" s="2"/>
    </row>
    <row r="987">
      <c r="C987" s="2"/>
    </row>
    <row r="988">
      <c r="C988" s="2"/>
    </row>
    <row r="989">
      <c r="C989" s="2"/>
    </row>
    <row r="990">
      <c r="C990" s="2"/>
    </row>
    <row r="991">
      <c r="C991" s="2"/>
    </row>
    <row r="992">
      <c r="C992" s="2"/>
    </row>
    <row r="993">
      <c r="C993" s="2"/>
    </row>
    <row r="994">
      <c r="C994" s="2"/>
    </row>
  </sheetData>
  <mergeCells count="7">
    <mergeCell ref="G9:M12"/>
    <mergeCell ref="G14:M19"/>
    <mergeCell ref="B21:D28"/>
    <mergeCell ref="G21:M25"/>
    <mergeCell ref="G27:M30"/>
    <mergeCell ref="B31:D44"/>
    <mergeCell ref="G32:M35"/>
  </mergeCells>
  <dataValidations>
    <dataValidation type="list" allowBlank="1" showErrorMessage="1" sqref="C5">
      <formula1>"bleu,saignant,à point,bien cuit"</formula1>
    </dataValidation>
  </dataValidations>
  <hyperlinks>
    <hyperlink r:id="rId1" ref="H40"/>
    <hyperlink r:id="rId2" ref="H41"/>
    <hyperlink r:id="rId3" ref="H42"/>
    <hyperlink r:id="rId4" ref="H43"/>
  </hyperlinks>
  <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59" t="s">
        <v>400</v>
      </c>
      <c r="B1" s="59" t="s">
        <v>402</v>
      </c>
    </row>
    <row r="2">
      <c r="B2" s="59" t="s">
        <v>403</v>
      </c>
    </row>
    <row r="3">
      <c r="B3" s="59" t="s">
        <v>404</v>
      </c>
    </row>
    <row r="4">
      <c r="B4" s="59" t="s">
        <v>405</v>
      </c>
    </row>
    <row r="5">
      <c r="B5" s="59" t="s">
        <v>406</v>
      </c>
    </row>
    <row r="6">
      <c r="B6" s="59" t="s">
        <v>407</v>
      </c>
    </row>
    <row r="7">
      <c r="B7" s="59" t="s">
        <v>408</v>
      </c>
    </row>
    <row r="10">
      <c r="A10" s="59" t="s">
        <v>409</v>
      </c>
      <c r="B10" s="57" t="s">
        <v>410</v>
      </c>
    </row>
    <row r="11">
      <c r="A11" s="59" t="s">
        <v>413</v>
      </c>
      <c r="B11" s="59" t="s">
        <v>414</v>
      </c>
    </row>
    <row r="12">
      <c r="B12" s="59" t="s">
        <v>283</v>
      </c>
    </row>
    <row r="13">
      <c r="B13" s="59" t="s">
        <v>416</v>
      </c>
    </row>
    <row r="14">
      <c r="B14" s="59" t="s">
        <v>417</v>
      </c>
    </row>
    <row r="15">
      <c r="B15" s="59" t="s">
        <v>418</v>
      </c>
    </row>
    <row r="17">
      <c r="A17" s="59" t="s">
        <v>419</v>
      </c>
      <c r="B17" s="59" t="s">
        <v>420</v>
      </c>
    </row>
    <row r="18">
      <c r="B18" s="59" t="s">
        <v>421</v>
      </c>
    </row>
    <row r="22">
      <c r="A22" s="59" t="s">
        <v>423</v>
      </c>
      <c r="B22" s="169" t="s">
        <v>424</v>
      </c>
    </row>
  </sheetData>
  <hyperlinks>
    <hyperlink r:id="rId1" ref="B10"/>
    <hyperlink r:id="rId2" ref="B22"/>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19.63"/>
  </cols>
  <sheetData>
    <row r="2">
      <c r="A2" s="4" t="s">
        <v>436</v>
      </c>
      <c r="B2" s="57" t="s">
        <v>437</v>
      </c>
    </row>
    <row r="3">
      <c r="A3" s="7" t="s">
        <v>439</v>
      </c>
      <c r="B3" s="5" t="s">
        <v>4</v>
      </c>
      <c r="C3" s="6" t="s">
        <v>5</v>
      </c>
      <c r="D3" s="6" t="s">
        <v>6</v>
      </c>
    </row>
    <row r="4">
      <c r="A4" s="88">
        <v>24.0</v>
      </c>
      <c r="B4" s="9" t="s">
        <v>84</v>
      </c>
      <c r="C4" s="177">
        <f>8.3334*A4</f>
        <v>200.0016</v>
      </c>
      <c r="D4" s="22" t="s">
        <v>17</v>
      </c>
      <c r="F4" s="76" t="s">
        <v>440</v>
      </c>
      <c r="G4" s="34"/>
      <c r="H4" s="34"/>
      <c r="I4" s="34"/>
      <c r="J4" s="34"/>
      <c r="K4" s="34"/>
      <c r="L4" s="36"/>
    </row>
    <row r="5">
      <c r="B5" s="31" t="s">
        <v>207</v>
      </c>
      <c r="C5" s="178">
        <f>8.3334*A4</f>
        <v>200.0016</v>
      </c>
      <c r="D5" s="28" t="s">
        <v>17</v>
      </c>
      <c r="F5" s="45"/>
      <c r="L5" s="47"/>
    </row>
    <row r="6">
      <c r="B6" s="31" t="s">
        <v>441</v>
      </c>
      <c r="C6" s="178">
        <f>41.667*A4</f>
        <v>1000.008</v>
      </c>
      <c r="D6" s="28" t="s">
        <v>46</v>
      </c>
      <c r="F6" s="45"/>
      <c r="L6" s="47"/>
    </row>
    <row r="7">
      <c r="B7" s="31" t="s">
        <v>191</v>
      </c>
      <c r="C7" s="28">
        <f>0.25*A4</f>
        <v>6</v>
      </c>
      <c r="D7" s="28" t="s">
        <v>381</v>
      </c>
      <c r="F7" s="45"/>
      <c r="L7" s="47"/>
    </row>
    <row r="8">
      <c r="B8" s="31" t="s">
        <v>442</v>
      </c>
      <c r="C8" s="28">
        <f>17*A4</f>
        <v>408</v>
      </c>
      <c r="D8" s="28" t="s">
        <v>17</v>
      </c>
      <c r="F8" s="45"/>
      <c r="L8" s="47"/>
    </row>
    <row r="9">
      <c r="B9" s="31" t="s">
        <v>443</v>
      </c>
      <c r="C9" s="28">
        <f>8*A4</f>
        <v>192</v>
      </c>
      <c r="D9" s="28" t="s">
        <v>17</v>
      </c>
      <c r="F9" s="45"/>
      <c r="L9" s="47"/>
    </row>
    <row r="10">
      <c r="B10" s="85" t="s">
        <v>68</v>
      </c>
      <c r="C10" s="148"/>
      <c r="D10" s="148"/>
      <c r="F10" s="45"/>
      <c r="L10" s="47"/>
    </row>
    <row r="11">
      <c r="B11" s="87" t="s">
        <v>71</v>
      </c>
      <c r="C11" s="91"/>
      <c r="D11" s="91"/>
      <c r="F11" s="45"/>
      <c r="L11" s="47"/>
    </row>
    <row r="12">
      <c r="F12" s="54"/>
      <c r="G12" s="55"/>
      <c r="H12" s="55"/>
      <c r="I12" s="55"/>
      <c r="J12" s="55"/>
      <c r="K12" s="55"/>
      <c r="L12" s="56"/>
    </row>
    <row r="15">
      <c r="F15" s="76" t="s">
        <v>445</v>
      </c>
      <c r="G15" s="34"/>
      <c r="H15" s="34"/>
      <c r="I15" s="34"/>
      <c r="J15" s="34"/>
      <c r="K15" s="34"/>
      <c r="L15" s="36"/>
    </row>
    <row r="16">
      <c r="F16" s="45"/>
      <c r="L16" s="47"/>
    </row>
    <row r="17">
      <c r="F17" s="45"/>
      <c r="L17" s="47"/>
    </row>
    <row r="18">
      <c r="F18" s="45"/>
      <c r="L18" s="47"/>
    </row>
    <row r="19">
      <c r="F19" s="45"/>
      <c r="L19" s="47"/>
    </row>
    <row r="20">
      <c r="F20" s="45"/>
      <c r="L20" s="47"/>
    </row>
    <row r="21">
      <c r="F21" s="45"/>
      <c r="L21" s="47"/>
    </row>
    <row r="22">
      <c r="F22" s="45"/>
      <c r="L22" s="47"/>
    </row>
    <row r="23">
      <c r="F23" s="45"/>
      <c r="L23" s="47"/>
    </row>
    <row r="24">
      <c r="F24" s="45"/>
      <c r="L24" s="47"/>
    </row>
    <row r="25">
      <c r="F25" s="45"/>
      <c r="L25" s="47"/>
    </row>
    <row r="26">
      <c r="F26" s="45"/>
      <c r="L26" s="47"/>
    </row>
    <row r="27">
      <c r="F27" s="45"/>
      <c r="L27" s="47"/>
    </row>
    <row r="28">
      <c r="F28" s="45"/>
      <c r="L28" s="47"/>
    </row>
    <row r="29">
      <c r="F29" s="45"/>
      <c r="L29" s="47"/>
    </row>
    <row r="30">
      <c r="F30" s="45"/>
      <c r="L30" s="47"/>
    </row>
    <row r="31">
      <c r="F31" s="45"/>
      <c r="L31" s="47"/>
    </row>
    <row r="32">
      <c r="F32" s="45"/>
      <c r="L32" s="47"/>
    </row>
    <row r="33">
      <c r="F33" s="45"/>
      <c r="L33" s="47"/>
    </row>
    <row r="34">
      <c r="F34" s="45"/>
      <c r="L34" s="47"/>
    </row>
    <row r="35">
      <c r="F35" s="45"/>
      <c r="L35" s="47"/>
    </row>
    <row r="36">
      <c r="F36" s="45"/>
      <c r="L36" s="47"/>
    </row>
    <row r="37">
      <c r="F37" s="45"/>
      <c r="L37" s="47"/>
    </row>
    <row r="38">
      <c r="F38" s="45"/>
      <c r="L38" s="47"/>
    </row>
    <row r="39">
      <c r="F39" s="54"/>
      <c r="G39" s="55"/>
      <c r="H39" s="55"/>
      <c r="I39" s="55"/>
      <c r="J39" s="55"/>
      <c r="K39" s="55"/>
      <c r="L39" s="56"/>
    </row>
  </sheetData>
  <mergeCells count="2">
    <mergeCell ref="F4:L12"/>
    <mergeCell ref="F15:L39"/>
  </mergeCells>
  <hyperlinks>
    <hyperlink r:id="rId1" ref="B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s>
  <sheetData>
    <row r="2">
      <c r="A2" s="101" t="s">
        <v>444</v>
      </c>
      <c r="B2" s="17" t="s">
        <v>4</v>
      </c>
      <c r="C2" s="6" t="s">
        <v>5</v>
      </c>
      <c r="D2" s="6" t="s">
        <v>6</v>
      </c>
    </row>
    <row r="3">
      <c r="A3" s="7" t="s">
        <v>13</v>
      </c>
      <c r="B3" s="103" t="s">
        <v>446</v>
      </c>
      <c r="C3" s="126">
        <f>80*A4</f>
        <v>240</v>
      </c>
      <c r="D3" s="22" t="s">
        <v>17</v>
      </c>
      <c r="F3" s="76" t="s">
        <v>447</v>
      </c>
      <c r="G3" s="34"/>
      <c r="H3" s="36"/>
    </row>
    <row r="4">
      <c r="A4" s="88">
        <v>3.0</v>
      </c>
      <c r="B4" s="85" t="s">
        <v>448</v>
      </c>
      <c r="C4" s="28">
        <f>100*A4</f>
        <v>300</v>
      </c>
      <c r="D4" s="28" t="s">
        <v>17</v>
      </c>
      <c r="F4" s="45"/>
      <c r="H4" s="47"/>
    </row>
    <row r="5">
      <c r="B5" s="85" t="s">
        <v>449</v>
      </c>
      <c r="C5" s="82">
        <f>60*A4</f>
        <v>180</v>
      </c>
      <c r="D5" s="28" t="s">
        <v>17</v>
      </c>
      <c r="F5" s="54"/>
      <c r="G5" s="55"/>
      <c r="H5" s="56"/>
    </row>
    <row r="6">
      <c r="B6" s="87" t="s">
        <v>450</v>
      </c>
      <c r="C6" s="89">
        <f>15*A4</f>
        <v>45</v>
      </c>
      <c r="D6" s="46" t="s">
        <v>17</v>
      </c>
    </row>
    <row r="7">
      <c r="A7" s="59"/>
      <c r="B7" s="50"/>
    </row>
    <row r="8">
      <c r="A8" s="59"/>
      <c r="B8" s="50"/>
    </row>
    <row r="9">
      <c r="A9" s="59"/>
      <c r="B9" s="50"/>
    </row>
    <row r="10">
      <c r="A10" s="59"/>
      <c r="B10" s="50"/>
    </row>
    <row r="11">
      <c r="A11" s="59"/>
      <c r="B11" s="50"/>
    </row>
    <row r="12">
      <c r="A12" s="59"/>
      <c r="B12" s="50"/>
    </row>
    <row r="13">
      <c r="A13" s="59"/>
      <c r="B13" s="50"/>
    </row>
    <row r="14">
      <c r="A14" s="59"/>
      <c r="B14" s="50"/>
    </row>
    <row r="15">
      <c r="A15" s="59"/>
      <c r="B15" s="50"/>
    </row>
    <row r="18">
      <c r="B18" s="125" t="s">
        <v>451</v>
      </c>
    </row>
    <row r="21">
      <c r="B21" s="125" t="s">
        <v>452</v>
      </c>
    </row>
    <row r="25">
      <c r="A25" s="59" t="s">
        <v>453</v>
      </c>
    </row>
    <row r="27">
      <c r="A27" s="59" t="s">
        <v>454</v>
      </c>
      <c r="C27" s="59" t="s">
        <v>455</v>
      </c>
      <c r="D27" s="59" t="s">
        <v>456</v>
      </c>
    </row>
    <row r="28">
      <c r="A28" s="59" t="s">
        <v>457</v>
      </c>
      <c r="C28" s="59" t="s">
        <v>458</v>
      </c>
    </row>
    <row r="29">
      <c r="A29" s="59" t="s">
        <v>459</v>
      </c>
      <c r="C29" s="59" t="s">
        <v>460</v>
      </c>
    </row>
    <row r="30">
      <c r="A30" s="59" t="s">
        <v>461</v>
      </c>
      <c r="B30" s="59" t="s">
        <v>264</v>
      </c>
    </row>
    <row r="31">
      <c r="A31" s="59" t="s">
        <v>462</v>
      </c>
    </row>
    <row r="33">
      <c r="A33" s="59" t="s">
        <v>463</v>
      </c>
    </row>
    <row r="35">
      <c r="A35" s="59" t="s">
        <v>464</v>
      </c>
    </row>
    <row r="36">
      <c r="A36" s="59" t="s">
        <v>465</v>
      </c>
    </row>
    <row r="38">
      <c r="C38" s="59" t="s">
        <v>466</v>
      </c>
    </row>
    <row r="40">
      <c r="C40" s="59" t="s">
        <v>467</v>
      </c>
    </row>
    <row r="48">
      <c r="A48" s="11" t="s">
        <v>468</v>
      </c>
      <c r="B48" s="57" t="s">
        <v>469</v>
      </c>
    </row>
    <row r="51">
      <c r="A51" s="59" t="s">
        <v>470</v>
      </c>
    </row>
    <row r="52">
      <c r="A52" s="59" t="s">
        <v>61</v>
      </c>
    </row>
    <row r="54">
      <c r="A54" s="59" t="s">
        <v>471</v>
      </c>
    </row>
    <row r="56">
      <c r="A56" s="59" t="s">
        <v>472</v>
      </c>
    </row>
    <row r="58">
      <c r="A58" s="59" t="s">
        <v>473</v>
      </c>
    </row>
    <row r="60">
      <c r="A60" s="59" t="s">
        <v>474</v>
      </c>
    </row>
    <row r="62">
      <c r="A62" s="59" t="s">
        <v>475</v>
      </c>
    </row>
    <row r="64">
      <c r="A64" s="59" t="s">
        <v>476</v>
      </c>
    </row>
    <row r="66">
      <c r="A66" s="59" t="s">
        <v>477</v>
      </c>
    </row>
    <row r="68">
      <c r="A68" s="59" t="s">
        <v>478</v>
      </c>
    </row>
    <row r="70">
      <c r="A70" s="59" t="s">
        <v>479</v>
      </c>
    </row>
    <row r="72">
      <c r="A72" s="59" t="s">
        <v>480</v>
      </c>
    </row>
    <row r="73">
      <c r="A73" s="59" t="s">
        <v>481</v>
      </c>
    </row>
    <row r="75">
      <c r="A75" s="59" t="s">
        <v>482</v>
      </c>
    </row>
    <row r="77">
      <c r="A77" s="59" t="s">
        <v>483</v>
      </c>
    </row>
    <row r="79">
      <c r="A79" s="59" t="s">
        <v>484</v>
      </c>
    </row>
    <row r="81">
      <c r="A81" s="59" t="s">
        <v>485</v>
      </c>
    </row>
    <row r="83">
      <c r="A83" s="59" t="s">
        <v>486</v>
      </c>
    </row>
    <row r="85">
      <c r="A85" s="59" t="s">
        <v>487</v>
      </c>
    </row>
    <row r="87">
      <c r="A87" s="59" t="s">
        <v>488</v>
      </c>
    </row>
    <row r="89">
      <c r="A89" s="59" t="s">
        <v>489</v>
      </c>
    </row>
    <row r="91">
      <c r="A91" s="59" t="s">
        <v>490</v>
      </c>
    </row>
    <row r="93">
      <c r="A93" s="59" t="s">
        <v>491</v>
      </c>
    </row>
    <row r="95">
      <c r="A95" s="59" t="s">
        <v>492</v>
      </c>
    </row>
    <row r="97">
      <c r="A97" s="59" t="s">
        <v>493</v>
      </c>
    </row>
    <row r="99">
      <c r="A99" s="59" t="s">
        <v>494</v>
      </c>
    </row>
    <row r="101">
      <c r="A101" s="59" t="s">
        <v>495</v>
      </c>
    </row>
    <row r="103">
      <c r="A103" s="59" t="s">
        <v>496</v>
      </c>
    </row>
    <row r="105">
      <c r="A105" s="59" t="s">
        <v>497</v>
      </c>
    </row>
    <row r="107">
      <c r="A107" s="59" t="s">
        <v>498</v>
      </c>
    </row>
  </sheetData>
  <mergeCells count="1">
    <mergeCell ref="F3:H5"/>
  </mergeCells>
  <hyperlinks>
    <hyperlink r:id="rId1" ref="B18"/>
    <hyperlink r:id="rId2" ref="B21"/>
    <hyperlink r:id="rId3" ref="A48"/>
    <hyperlink r:id="rId4" ref="B48"/>
  </hyperlinks>
  <drawing r:id="rId5"/>
</worksheet>
</file>